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Git Project\Excel\"/>
    </mc:Choice>
  </mc:AlternateContent>
  <xr:revisionPtr revIDLastSave="0" documentId="13_ncr:1_{59026C53-02AC-47D6-A021-D9AFC1AA9024}" xr6:coauthVersionLast="47" xr6:coauthVersionMax="47" xr10:uidLastSave="{00000000-0000-0000-0000-000000000000}"/>
  <bookViews>
    <workbookView xWindow="-108" yWindow="-108" windowWidth="23256" windowHeight="13176" firstSheet="4" activeTab="4" xr2:uid="{4AE2CAC5-D641-4C73-8183-C259EE758D63}"/>
  </bookViews>
  <sheets>
    <sheet name="Procurement_Vendor Final INR" sheetId="6" state="hidden" r:id="rId1"/>
    <sheet name="Spend&amp;savings departmentwise" sheetId="4" state="hidden" r:id="rId2"/>
    <sheet name="Total spend and Discount" sheetId="7" state="hidden" r:id="rId3"/>
    <sheet name="Delivery Status" sheetId="17" state="hidden" r:id="rId4"/>
    <sheet name="Executive summary" sheetId="14" r:id="rId5"/>
    <sheet name="Procurement Estimates" sheetId="10" r:id="rId6"/>
    <sheet name="Savings and average" sheetId="12" r:id="rId7"/>
    <sheet name="Vendorwise Spending" sheetId="16" r:id="rId8"/>
    <sheet name="Delivery Tracker " sheetId="18" r:id="rId9"/>
  </sheets>
  <definedNames>
    <definedName name="Slicer_Department">#N/A</definedName>
    <definedName name="Slicer_Vendor_Name">#N/A</definedName>
    <definedName name="Slicer_Vendor_Name1">#N/A</definedName>
  </definedNames>
  <calcPr calcId="191029"/>
  <pivotCaches>
    <pivotCache cacheId="0" r:id="rId10"/>
    <pivotCache cacheId="1" r:id="rId11"/>
    <pivotCache cacheId="2" r:id="rId12"/>
    <pivotCache cacheId="3" r:id="rId13"/>
    <pivotCache cacheId="4"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 i="4" l="1"/>
  <c r="E3" i="7"/>
  <c r="E4" i="7"/>
  <c r="E5" i="7"/>
  <c r="E6" i="7"/>
  <c r="E7" i="7"/>
  <c r="E8" i="7"/>
  <c r="E9" i="7"/>
  <c r="E10" i="7"/>
  <c r="E11" i="7"/>
  <c r="E12" i="7"/>
  <c r="E13" i="7"/>
  <c r="E14" i="7"/>
  <c r="E15" i="7"/>
  <c r="E16" i="7"/>
  <c r="E2" i="7"/>
</calcChain>
</file>

<file path=xl/sharedStrings.xml><?xml version="1.0" encoding="utf-8"?>
<sst xmlns="http://schemas.openxmlformats.org/spreadsheetml/2006/main" count="1786" uniqueCount="87">
  <si>
    <t>PO_Date</t>
  </si>
  <si>
    <t>Vendor_ID</t>
  </si>
  <si>
    <t>Vendor_Name</t>
  </si>
  <si>
    <t>Category</t>
  </si>
  <si>
    <t>Department</t>
  </si>
  <si>
    <t>Quantity</t>
  </si>
  <si>
    <t>Expected_Delivery_Date</t>
  </si>
  <si>
    <t>Actual_Delivery_Date</t>
  </si>
  <si>
    <t>Status</t>
  </si>
  <si>
    <t>V011</t>
  </si>
  <si>
    <t>Infra Solutions India</t>
  </si>
  <si>
    <t>Services</t>
  </si>
  <si>
    <t>R&amp;D</t>
  </si>
  <si>
    <t>Pending</t>
  </si>
  <si>
    <t>V002</t>
  </si>
  <si>
    <t>Apex Components Pvt Ltd</t>
  </si>
  <si>
    <t>Components</t>
  </si>
  <si>
    <t>IT</t>
  </si>
  <si>
    <t>Delivered</t>
  </si>
  <si>
    <t>V001</t>
  </si>
  <si>
    <t>Sharma Industrials</t>
  </si>
  <si>
    <t>Raw Materials</t>
  </si>
  <si>
    <t>Quality</t>
  </si>
  <si>
    <t>V009</t>
  </si>
  <si>
    <t>Bangalore Office Supplies</t>
  </si>
  <si>
    <t>Office Supplies</t>
  </si>
  <si>
    <t>Production</t>
  </si>
  <si>
    <t>V014</t>
  </si>
  <si>
    <t>Sri Lakshmi Traders</t>
  </si>
  <si>
    <t>V008</t>
  </si>
  <si>
    <t>Krishna Auto Parts</t>
  </si>
  <si>
    <t>Cancelled</t>
  </si>
  <si>
    <t>V012</t>
  </si>
  <si>
    <t>Coromandel Components</t>
  </si>
  <si>
    <t>V003</t>
  </si>
  <si>
    <t>GlobalTech Supplies</t>
  </si>
  <si>
    <t>IT Equipment</t>
  </si>
  <si>
    <t>V005</t>
  </si>
  <si>
    <t>Mehta Steel Works</t>
  </si>
  <si>
    <t>Logistics</t>
  </si>
  <si>
    <t>V007</t>
  </si>
  <si>
    <t>Patel Packaging Ltd</t>
  </si>
  <si>
    <t>Packaging</t>
  </si>
  <si>
    <t>V010</t>
  </si>
  <si>
    <t>Reddy Manufacturing</t>
  </si>
  <si>
    <t>V006</t>
  </si>
  <si>
    <t>SunTech Electronics</t>
  </si>
  <si>
    <t>V004</t>
  </si>
  <si>
    <t>Nair Logistics Co</t>
  </si>
  <si>
    <t>Admin</t>
  </si>
  <si>
    <t>V013</t>
  </si>
  <si>
    <t>Tech Vision Pvt Ltd</t>
  </si>
  <si>
    <t>V015</t>
  </si>
  <si>
    <t>Deccan Packaging Co</t>
  </si>
  <si>
    <t>In Transit</t>
  </si>
  <si>
    <t>Total_POs</t>
  </si>
  <si>
    <t>Total_Spend</t>
  </si>
  <si>
    <t>Avg_PO_Value</t>
  </si>
  <si>
    <t>Total_Savings</t>
  </si>
  <si>
    <t>Total_Purchases</t>
  </si>
  <si>
    <t>Total_expenditure</t>
  </si>
  <si>
    <t>Overall_discount</t>
  </si>
  <si>
    <t>Total_Spending INR</t>
  </si>
  <si>
    <t>Row Labels</t>
  </si>
  <si>
    <t>Sum of Total_Purchases</t>
  </si>
  <si>
    <t>Sum of Total_Spending INR</t>
  </si>
  <si>
    <t xml:space="preserve"> Total_POs</t>
  </si>
  <si>
    <t xml:space="preserve"> Total_Savings </t>
  </si>
  <si>
    <t>Total_Spending</t>
  </si>
  <si>
    <t>Total savings</t>
  </si>
  <si>
    <t>Discount Percentage</t>
  </si>
  <si>
    <t>Admin Total</t>
  </si>
  <si>
    <t>IT Total</t>
  </si>
  <si>
    <t>Logistics Total</t>
  </si>
  <si>
    <t>Production Total</t>
  </si>
  <si>
    <t>Quality Total</t>
  </si>
  <si>
    <t>R&amp;D Total</t>
  </si>
  <si>
    <t xml:space="preserve"> Total_expenditure</t>
  </si>
  <si>
    <t>Total_discount</t>
  </si>
  <si>
    <t>On_Time_Status</t>
  </si>
  <si>
    <t>Calculated_Delay_Days</t>
  </si>
  <si>
    <t>Delayed</t>
  </si>
  <si>
    <t>In Transit / Pending</t>
  </si>
  <si>
    <t>On Time</t>
  </si>
  <si>
    <t>Vendors</t>
  </si>
  <si>
    <t xml:space="preserve">Status Report </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</si>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</sst>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Times New Roman"/>
      <family val="1"/>
    </font>
    <font>
      <b/>
      <sz val="16"/>
      <color theme="1"/>
      <name val="Times New Roman"/>
      <family val="1"/>
    </font>
    <font>
      <sz val="14"/>
      <color theme="1"/>
      <name val="Times New Roman"/>
      <family val="1"/>
    </font>
    <font>
      <sz val="16"/>
      <color theme="1"/>
      <name val="Calibri"/>
      <family val="2"/>
      <scheme val="minor"/>
    </font>
    <font>
      <sz val="16"/>
      <color theme="1"/>
      <name val="Times New Roman"/>
      <family val="1"/>
    </font>
    <font>
      <sz val="20"/>
      <color theme="1"/>
      <name val="Times New Roman"/>
      <family val="1"/>
    </font>
    <font>
      <b/>
      <sz val="12"/>
      <color theme="1"/>
      <name val="Times New Roman"/>
      <family val="1"/>
    </font>
    <font>
      <sz val="12"/>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0" borderId="10" xfId="0" applyBorder="1"/>
    <xf numFmtId="164" fontId="0" fillId="0" borderId="0" xfId="0" applyNumberFormat="1"/>
    <xf numFmtId="0" fontId="0" fillId="0" borderId="10" xfId="0" applyBorder="1" applyAlignment="1">
      <alignment horizontal="center" vertical="center"/>
    </xf>
    <xf numFmtId="164" fontId="0" fillId="0" borderId="10" xfId="0" applyNumberFormat="1" applyBorder="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0" fontId="18" fillId="0" borderId="10" xfId="0" applyFont="1" applyBorder="1" applyAlignment="1">
      <alignment horizontal="center" vertical="center"/>
    </xf>
    <xf numFmtId="164" fontId="18" fillId="0" borderId="10" xfId="0" applyNumberFormat="1" applyFont="1" applyBorder="1" applyAlignment="1">
      <alignment horizontal="center" vertical="center"/>
    </xf>
    <xf numFmtId="0" fontId="19" fillId="0" borderId="10" xfId="0" applyFont="1" applyBorder="1"/>
    <xf numFmtId="0" fontId="0" fillId="0" borderId="0" xfId="0" pivotButton="1"/>
    <xf numFmtId="165" fontId="0" fillId="0" borderId="0" xfId="0" applyNumberFormat="1"/>
    <xf numFmtId="0" fontId="21" fillId="0" borderId="0" xfId="0" applyFont="1"/>
    <xf numFmtId="0" fontId="20" fillId="0" borderId="10" xfId="0" pivotButton="1" applyFont="1" applyBorder="1"/>
    <xf numFmtId="0" fontId="20" fillId="0" borderId="10" xfId="0" applyFont="1" applyBorder="1"/>
    <xf numFmtId="0" fontId="22" fillId="0" borderId="10" xfId="0" pivotButton="1" applyFont="1" applyBorder="1"/>
    <xf numFmtId="2" fontId="0" fillId="0" borderId="10" xfId="0" applyNumberFormat="1" applyBorder="1"/>
    <xf numFmtId="165" fontId="20" fillId="0" borderId="10" xfId="0" applyNumberFormat="1" applyFont="1" applyBorder="1"/>
    <xf numFmtId="165" fontId="22" fillId="0" borderId="10" xfId="0" applyNumberFormat="1" applyFont="1" applyBorder="1"/>
    <xf numFmtId="0" fontId="22" fillId="0" borderId="10" xfId="0" applyFont="1" applyBorder="1" applyAlignment="1">
      <alignment horizontal="left"/>
    </xf>
    <xf numFmtId="0" fontId="21" fillId="0" borderId="11" xfId="0" applyFont="1" applyBorder="1"/>
    <xf numFmtId="0" fontId="20" fillId="0" borderId="10" xfId="0" applyFont="1" applyBorder="1" applyAlignment="1">
      <alignment horizontal="left"/>
    </xf>
    <xf numFmtId="0" fontId="23" fillId="0" borderId="10" xfId="0" applyFont="1" applyBorder="1"/>
    <xf numFmtId="0" fontId="23" fillId="0" borderId="10" xfId="0" applyFont="1" applyBorder="1" applyAlignment="1">
      <alignment horizontal="center" vertical="center"/>
    </xf>
    <xf numFmtId="165" fontId="23" fillId="0" borderId="10" xfId="0" applyNumberFormat="1" applyFont="1" applyBorder="1" applyAlignment="1">
      <alignment horizontal="center" vertical="center"/>
    </xf>
    <xf numFmtId="0" fontId="24" fillId="0" borderId="10" xfId="0" applyFont="1" applyBorder="1"/>
    <xf numFmtId="0" fontId="0" fillId="0" borderId="0" xfId="0" applyAlignment="1">
      <alignment horizontal="center"/>
    </xf>
    <xf numFmtId="14" fontId="25" fillId="0" borderId="10" xfId="0" applyNumberFormat="1" applyFont="1" applyBorder="1" applyAlignment="1">
      <alignment horizontal="center"/>
    </xf>
    <xf numFmtId="0" fontId="25" fillId="0" borderId="10" xfId="0" applyFont="1" applyBorder="1" applyAlignment="1">
      <alignment horizontal="center"/>
    </xf>
    <xf numFmtId="0" fontId="0" fillId="0" borderId="10" xfId="0" pivotButton="1" applyBorder="1"/>
    <xf numFmtId="0" fontId="0" fillId="0" borderId="10" xfId="0" applyBorder="1" applyAlignment="1">
      <alignment horizontal="left"/>
    </xf>
    <xf numFmtId="0" fontId="0" fillId="0" borderId="16" xfId="0" applyBorder="1"/>
    <xf numFmtId="0" fontId="0" fillId="0" borderId="17" xfId="0" applyBorder="1"/>
    <xf numFmtId="0" fontId="0" fillId="0" borderId="15" xfId="0" applyBorder="1"/>
    <xf numFmtId="0" fontId="0" fillId="0" borderId="18" xfId="0" applyBorder="1" applyAlignment="1">
      <alignment horizontal="left" indent="1"/>
    </xf>
    <xf numFmtId="0" fontId="0" fillId="0" borderId="12" xfId="0" applyBorder="1" applyAlignment="1">
      <alignment horizontal="left" indent="1"/>
    </xf>
    <xf numFmtId="0" fontId="0" fillId="0" borderId="13" xfId="0" applyBorder="1"/>
    <xf numFmtId="0" fontId="0" fillId="0" borderId="15" xfId="0" applyBorder="1" applyAlignment="1">
      <alignment horizontal="left"/>
    </xf>
    <xf numFmtId="0" fontId="0" fillId="0" borderId="14"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3">
    <dxf>
      <numFmt numFmtId="165" formatCode="&quot;₹&quot;\ #,##0"/>
    </dxf>
    <dxf>
      <font>
        <sz val="14"/>
      </font>
    </dxf>
    <dxf>
      <font>
        <sz val="14"/>
      </font>
    </dxf>
    <dxf>
      <font>
        <sz val="14"/>
      </font>
    </dxf>
    <dxf>
      <font>
        <sz val="14"/>
      </font>
    </dxf>
    <dxf>
      <font>
        <sz val="14"/>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6"/>
      </font>
    </dxf>
    <dxf>
      <font>
        <name val="Times New Roman"/>
        <family val="1"/>
        <scheme val="none"/>
      </font>
    </dxf>
    <dxf>
      <numFmt numFmtId="165"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font>
        <name val="Times New Roman"/>
        <family val="1"/>
        <scheme val="none"/>
      </font>
    </dxf>
    <dxf>
      <font>
        <name val="Times New Roman"/>
        <family val="1"/>
        <scheme val="none"/>
      </font>
    </dxf>
    <dxf>
      <font>
        <sz val="16"/>
      </font>
    </dxf>
    <dxf>
      <font>
        <sz val="16"/>
      </font>
    </dxf>
    <dxf>
      <font>
        <sz val="16"/>
      </font>
    </dxf>
    <dxf>
      <font>
        <sz val="16"/>
      </font>
    </dxf>
    <dxf>
      <font>
        <sz val="16"/>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sz val="20"/>
      </font>
    </dxf>
    <dxf>
      <font>
        <sz val="20"/>
      </font>
    </dxf>
    <dxf>
      <font>
        <sz val="20"/>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[Procurement_Analytics.xlsx]Procurement Estimates!Estimates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latin typeface="Times New Roman" panose="02020603050405020304" pitchFamily="18" charset="0"/>
                <a:cs typeface="Times New Roman" panose="02020603050405020304" pitchFamily="18" charset="0"/>
              </a:rPr>
              <a:t>Department</a:t>
            </a:r>
            <a:r>
              <a:rPr lang="en-IN" sz="2000" b="1" baseline="0">
                <a:latin typeface="Times New Roman" panose="02020603050405020304" pitchFamily="18" charset="0"/>
                <a:cs typeface="Times New Roman" panose="02020603050405020304" pitchFamily="18" charset="0"/>
              </a:rPr>
              <a:t> Spending FY2024 </a:t>
            </a:r>
            <a:endParaRPr lang="en-IN" sz="2000" b="1">
              <a:latin typeface="Times New Roman" panose="02020603050405020304" pitchFamily="18" charset="0"/>
              <a:cs typeface="Times New Roman" panose="02020603050405020304" pitchFamily="18" charset="0"/>
            </a:endParaRPr>
          </a:p>
        </c:rich>
      </c:tx>
      <c:layout>
        <c:manualLayout>
          <c:xMode val="edge"/>
          <c:yMode val="edge"/>
          <c:x val="0.28150415775433824"/>
          <c:y val="4.4587468294440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'Procurement Estimates'!$C$3</c:f>
              <c:strCache>
                <c:ptCount val="1"/>
                <c:pt idx="0">
                  <c:v>Sum of Total_Purchases</c:v>
                </c:pt>
              </c:strCache>
            </c:strRef>
          </c:tx>
          <c:spPr>
            <a:solidFill>
              <a:schemeClr val="accent1"/>
            </a:solidFill>
            <a:ln>
              <a:noFill/>
            </a:ln>
            <a:effectLst/>
          </c:spPr>
          <c:invertIfNegative val="0"/>
          <c:cat>
            <c:multiLvlStrRef>
              <c:f>'Procurement Estimates'!$A$4:$B$43</c:f>
              <c:multiLvlStrCache>
                <c:ptCount val="34"/>
                <c:lvl>
                  <c:pt idx="0">
                    <c:v>Components</c:v>
                  </c:pt>
                  <c:pt idx="1">
                    <c:v>IT Equipment</c:v>
                  </c:pt>
                  <c:pt idx="2">
                    <c:v>Office Supplies</c:v>
                  </c:pt>
                  <c:pt idx="3">
                    <c:v>Packaging</c:v>
                  </c:pt>
                  <c:pt idx="4">
                    <c:v>Raw Materials</c:v>
                  </c:pt>
                  <c:pt idx="5">
                    <c:v>Services</c:v>
                  </c:pt>
                  <c:pt idx="6">
                    <c:v>Components</c:v>
                  </c:pt>
                  <c:pt idx="7">
                    <c:v>IT Equipment</c:v>
                  </c:pt>
                  <c:pt idx="8">
                    <c:v>Office Supplies</c:v>
                  </c:pt>
                  <c:pt idx="9">
                    <c:v>Packaging</c:v>
                  </c:pt>
                  <c:pt idx="10">
                    <c:v>Raw Materials</c:v>
                  </c:pt>
                  <c:pt idx="11">
                    <c:v>Components</c:v>
                  </c:pt>
                  <c:pt idx="12">
                    <c:v>IT Equipment</c:v>
                  </c:pt>
                  <c:pt idx="13">
                    <c:v>Packaging</c:v>
                  </c:pt>
                  <c:pt idx="14">
                    <c:v>Raw Materials</c:v>
                  </c:pt>
                  <c:pt idx="15">
                    <c:v>Services</c:v>
                  </c:pt>
                  <c:pt idx="16">
                    <c:v>Components</c:v>
                  </c:pt>
                  <c:pt idx="17">
                    <c:v>IT Equipment</c:v>
                  </c:pt>
                  <c:pt idx="18">
                    <c:v>Office Supplies</c:v>
                  </c:pt>
                  <c:pt idx="19">
                    <c:v>Packaging</c:v>
                  </c:pt>
                  <c:pt idx="20">
                    <c:v>Raw Materials</c:v>
                  </c:pt>
                  <c:pt idx="21">
                    <c:v>Services</c:v>
                  </c:pt>
                  <c:pt idx="22">
                    <c:v>Components</c:v>
                  </c:pt>
                  <c:pt idx="23">
                    <c:v>IT Equipment</c:v>
                  </c:pt>
                  <c:pt idx="24">
                    <c:v>Office Supplies</c:v>
                  </c:pt>
                  <c:pt idx="25">
                    <c:v>Packaging</c:v>
                  </c:pt>
                  <c:pt idx="26">
                    <c:v>Raw Materials</c:v>
                  </c:pt>
                  <c:pt idx="27">
                    <c:v>Services</c:v>
                  </c:pt>
                  <c:pt idx="28">
                    <c:v>Components</c:v>
                  </c:pt>
                  <c:pt idx="29">
                    <c:v>IT Equipment</c:v>
                  </c:pt>
                  <c:pt idx="30">
                    <c:v>Office Supplies</c:v>
                  </c:pt>
                  <c:pt idx="31">
                    <c:v>Packaging</c:v>
                  </c:pt>
                  <c:pt idx="32">
                    <c:v>Raw Materials</c:v>
                  </c:pt>
                  <c:pt idx="33">
                    <c:v>Services</c:v>
                  </c:pt>
                </c:lvl>
                <c:lvl>
                  <c:pt idx="0">
                    <c:v>Admin</c:v>
                  </c:pt>
                  <c:pt idx="6">
                    <c:v>IT</c:v>
                  </c:pt>
                  <c:pt idx="11">
                    <c:v>Logistics</c:v>
                  </c:pt>
                  <c:pt idx="16">
                    <c:v>Production</c:v>
                  </c:pt>
                  <c:pt idx="22">
                    <c:v>Quality</c:v>
                  </c:pt>
                  <c:pt idx="28">
                    <c:v>R&amp;D</c:v>
                  </c:pt>
                </c:lvl>
              </c:multiLvlStrCache>
            </c:multiLvlStrRef>
          </c:cat>
          <c:val>
            <c:numRef>
              <c:f>'Procurement Estimates'!$C$4:$C$43</c:f>
              <c:numCache>
                <c:formatCode>General</c:formatCode>
                <c:ptCount val="34"/>
                <c:pt idx="0">
                  <c:v>5</c:v>
                </c:pt>
                <c:pt idx="1">
                  <c:v>5</c:v>
                </c:pt>
                <c:pt idx="2">
                  <c:v>1</c:v>
                </c:pt>
                <c:pt idx="3">
                  <c:v>8</c:v>
                </c:pt>
                <c:pt idx="4">
                  <c:v>15</c:v>
                </c:pt>
                <c:pt idx="5">
                  <c:v>3</c:v>
                </c:pt>
                <c:pt idx="6">
                  <c:v>7</c:v>
                </c:pt>
                <c:pt idx="7">
                  <c:v>10</c:v>
                </c:pt>
                <c:pt idx="8">
                  <c:v>3</c:v>
                </c:pt>
                <c:pt idx="9">
                  <c:v>9</c:v>
                </c:pt>
                <c:pt idx="10">
                  <c:v>3</c:v>
                </c:pt>
                <c:pt idx="11">
                  <c:v>7</c:v>
                </c:pt>
                <c:pt idx="12">
                  <c:v>5</c:v>
                </c:pt>
                <c:pt idx="13">
                  <c:v>3</c:v>
                </c:pt>
                <c:pt idx="14">
                  <c:v>7</c:v>
                </c:pt>
                <c:pt idx="15">
                  <c:v>2</c:v>
                </c:pt>
                <c:pt idx="16">
                  <c:v>8</c:v>
                </c:pt>
                <c:pt idx="17">
                  <c:v>7</c:v>
                </c:pt>
                <c:pt idx="18">
                  <c:v>5</c:v>
                </c:pt>
                <c:pt idx="19">
                  <c:v>11</c:v>
                </c:pt>
                <c:pt idx="20">
                  <c:v>5</c:v>
                </c:pt>
                <c:pt idx="21">
                  <c:v>1</c:v>
                </c:pt>
                <c:pt idx="22">
                  <c:v>10</c:v>
                </c:pt>
                <c:pt idx="23">
                  <c:v>4</c:v>
                </c:pt>
                <c:pt idx="24">
                  <c:v>6</c:v>
                </c:pt>
                <c:pt idx="25">
                  <c:v>3</c:v>
                </c:pt>
                <c:pt idx="26">
                  <c:v>13</c:v>
                </c:pt>
                <c:pt idx="27">
                  <c:v>2</c:v>
                </c:pt>
                <c:pt idx="28">
                  <c:v>5</c:v>
                </c:pt>
                <c:pt idx="29">
                  <c:v>5</c:v>
                </c:pt>
                <c:pt idx="30">
                  <c:v>4</c:v>
                </c:pt>
                <c:pt idx="31">
                  <c:v>8</c:v>
                </c:pt>
                <c:pt idx="32">
                  <c:v>8</c:v>
                </c:pt>
                <c:pt idx="33">
                  <c:v>2</c:v>
                </c:pt>
              </c:numCache>
            </c:numRef>
          </c:val>
          <c:extLst>
            <c:ext xmlns:c16="http://schemas.microsoft.com/office/drawing/2014/chart" uri="{C3380CC4-5D6E-409C-BE32-E72D297353CC}">
              <c16:uniqueId val="{00000004-B39F-41ED-9DC6-AE9EA17558ED}"/>
            </c:ext>
          </c:extLst>
        </c:ser>
        <c:ser>
          <c:idx val="1"/>
          <c:order val="1"/>
          <c:tx>
            <c:strRef>
              <c:f>'Procurement Estimates'!$D$3</c:f>
              <c:strCache>
                <c:ptCount val="1"/>
                <c:pt idx="0">
                  <c:v>Sum of Total_Spending INR</c:v>
                </c:pt>
              </c:strCache>
            </c:strRef>
          </c:tx>
          <c:spPr>
            <a:solidFill>
              <a:schemeClr val="accent1"/>
            </a:solidFill>
            <a:ln>
              <a:noFill/>
            </a:ln>
            <a:effectLst/>
          </c:spPr>
          <c:invertIfNegative val="0"/>
          <c:cat>
            <c:multiLvlStrRef>
              <c:f>'Procurement Estimates'!$A$4:$B$43</c:f>
              <c:multiLvlStrCache>
                <c:ptCount val="34"/>
                <c:lvl>
                  <c:pt idx="0">
                    <c:v>Components</c:v>
                  </c:pt>
                  <c:pt idx="1">
                    <c:v>IT Equipment</c:v>
                  </c:pt>
                  <c:pt idx="2">
                    <c:v>Office Supplies</c:v>
                  </c:pt>
                  <c:pt idx="3">
                    <c:v>Packaging</c:v>
                  </c:pt>
                  <c:pt idx="4">
                    <c:v>Raw Materials</c:v>
                  </c:pt>
                  <c:pt idx="5">
                    <c:v>Services</c:v>
                  </c:pt>
                  <c:pt idx="6">
                    <c:v>Components</c:v>
                  </c:pt>
                  <c:pt idx="7">
                    <c:v>IT Equipment</c:v>
                  </c:pt>
                  <c:pt idx="8">
                    <c:v>Office Supplies</c:v>
                  </c:pt>
                  <c:pt idx="9">
                    <c:v>Packaging</c:v>
                  </c:pt>
                  <c:pt idx="10">
                    <c:v>Raw Materials</c:v>
                  </c:pt>
                  <c:pt idx="11">
                    <c:v>Components</c:v>
                  </c:pt>
                  <c:pt idx="12">
                    <c:v>IT Equipment</c:v>
                  </c:pt>
                  <c:pt idx="13">
                    <c:v>Packaging</c:v>
                  </c:pt>
                  <c:pt idx="14">
                    <c:v>Raw Materials</c:v>
                  </c:pt>
                  <c:pt idx="15">
                    <c:v>Services</c:v>
                  </c:pt>
                  <c:pt idx="16">
                    <c:v>Components</c:v>
                  </c:pt>
                  <c:pt idx="17">
                    <c:v>IT Equipment</c:v>
                  </c:pt>
                  <c:pt idx="18">
                    <c:v>Office Supplies</c:v>
                  </c:pt>
                  <c:pt idx="19">
                    <c:v>Packaging</c:v>
                  </c:pt>
                  <c:pt idx="20">
                    <c:v>Raw Materials</c:v>
                  </c:pt>
                  <c:pt idx="21">
                    <c:v>Services</c:v>
                  </c:pt>
                  <c:pt idx="22">
                    <c:v>Components</c:v>
                  </c:pt>
                  <c:pt idx="23">
                    <c:v>IT Equipment</c:v>
                  </c:pt>
                  <c:pt idx="24">
                    <c:v>Office Supplies</c:v>
                  </c:pt>
                  <c:pt idx="25">
                    <c:v>Packaging</c:v>
                  </c:pt>
                  <c:pt idx="26">
                    <c:v>Raw Materials</c:v>
                  </c:pt>
                  <c:pt idx="27">
                    <c:v>Services</c:v>
                  </c:pt>
                  <c:pt idx="28">
                    <c:v>Components</c:v>
                  </c:pt>
                  <c:pt idx="29">
                    <c:v>IT Equipment</c:v>
                  </c:pt>
                  <c:pt idx="30">
                    <c:v>Office Supplies</c:v>
                  </c:pt>
                  <c:pt idx="31">
                    <c:v>Packaging</c:v>
                  </c:pt>
                  <c:pt idx="32">
                    <c:v>Raw Materials</c:v>
                  </c:pt>
                  <c:pt idx="33">
                    <c:v>Services</c:v>
                  </c:pt>
                </c:lvl>
                <c:lvl>
                  <c:pt idx="0">
                    <c:v>Admin</c:v>
                  </c:pt>
                  <c:pt idx="6">
                    <c:v>IT</c:v>
                  </c:pt>
                  <c:pt idx="11">
                    <c:v>Logistics</c:v>
                  </c:pt>
                  <c:pt idx="16">
                    <c:v>Production</c:v>
                  </c:pt>
                  <c:pt idx="22">
                    <c:v>Quality</c:v>
                  </c:pt>
                  <c:pt idx="28">
                    <c:v>R&amp;D</c:v>
                  </c:pt>
                </c:lvl>
              </c:multiLvlStrCache>
            </c:multiLvlStrRef>
          </c:cat>
          <c:val>
            <c:numRef>
              <c:f>'Procurement Estimates'!$D$4:$D$43</c:f>
              <c:numCache>
                <c:formatCode>"₹"\ #,##0.00</c:formatCode>
                <c:ptCount val="34"/>
                <c:pt idx="0">
                  <c:v>15009994.279999999</c:v>
                </c:pt>
                <c:pt idx="1">
                  <c:v>11224099.51999999</c:v>
                </c:pt>
                <c:pt idx="2">
                  <c:v>730153.44</c:v>
                </c:pt>
                <c:pt idx="3">
                  <c:v>11186190.15</c:v>
                </c:pt>
                <c:pt idx="4">
                  <c:v>26546008.830000002</c:v>
                </c:pt>
                <c:pt idx="5">
                  <c:v>2903100.6</c:v>
                </c:pt>
                <c:pt idx="6">
                  <c:v>13722736.439999999</c:v>
                </c:pt>
                <c:pt idx="7">
                  <c:v>20317253.629999999</c:v>
                </c:pt>
                <c:pt idx="8">
                  <c:v>944930.11999999895</c:v>
                </c:pt>
                <c:pt idx="9">
                  <c:v>24464717.299999997</c:v>
                </c:pt>
                <c:pt idx="10">
                  <c:v>2387696.4700000002</c:v>
                </c:pt>
                <c:pt idx="11">
                  <c:v>18441027.289999992</c:v>
                </c:pt>
                <c:pt idx="12">
                  <c:v>19206277.619999997</c:v>
                </c:pt>
                <c:pt idx="13">
                  <c:v>5118244.5600000005</c:v>
                </c:pt>
                <c:pt idx="14">
                  <c:v>18314120.100000001</c:v>
                </c:pt>
                <c:pt idx="15">
                  <c:v>8417257.1600000001</c:v>
                </c:pt>
                <c:pt idx="16">
                  <c:v>16715734.639999999</c:v>
                </c:pt>
                <c:pt idx="17">
                  <c:v>9387284.6199999899</c:v>
                </c:pt>
                <c:pt idx="18">
                  <c:v>8384633</c:v>
                </c:pt>
                <c:pt idx="19">
                  <c:v>24712745.309999987</c:v>
                </c:pt>
                <c:pt idx="20">
                  <c:v>9026938.6500000004</c:v>
                </c:pt>
                <c:pt idx="21">
                  <c:v>405915.67</c:v>
                </c:pt>
                <c:pt idx="22">
                  <c:v>17063481.369999997</c:v>
                </c:pt>
                <c:pt idx="23">
                  <c:v>5807859.52999999</c:v>
                </c:pt>
                <c:pt idx="24">
                  <c:v>7588150.1500000004</c:v>
                </c:pt>
                <c:pt idx="25">
                  <c:v>5977370.7599999998</c:v>
                </c:pt>
                <c:pt idx="26">
                  <c:v>25891547.319999997</c:v>
                </c:pt>
                <c:pt idx="27">
                  <c:v>2149110.1</c:v>
                </c:pt>
                <c:pt idx="28">
                  <c:v>10581320.460000001</c:v>
                </c:pt>
                <c:pt idx="29">
                  <c:v>14336704.439999998</c:v>
                </c:pt>
                <c:pt idx="30">
                  <c:v>11054401.539999999</c:v>
                </c:pt>
                <c:pt idx="31">
                  <c:v>15563963.560000001</c:v>
                </c:pt>
                <c:pt idx="32">
                  <c:v>18464753.829999998</c:v>
                </c:pt>
                <c:pt idx="33">
                  <c:v>534021.41</c:v>
                </c:pt>
              </c:numCache>
            </c:numRef>
          </c:val>
          <c:extLst>
            <c:ext xmlns:c16="http://schemas.microsoft.com/office/drawing/2014/chart" uri="{C3380CC4-5D6E-409C-BE32-E72D297353CC}">
              <c16:uniqueId val="{00000005-B39F-41ED-9DC6-AE9EA17558ED}"/>
            </c:ext>
          </c:extLst>
        </c:ser>
        <c:dLbls>
          <c:showLegendKey val="0"/>
          <c:showVal val="0"/>
          <c:showCatName val="0"/>
          <c:showSerName val="0"/>
          <c:showPercent val="0"/>
          <c:showBubbleSize val="0"/>
        </c:dLbls>
        <c:gapWidth val="150"/>
        <c:overlap val="100"/>
        <c:axId val="973605855"/>
        <c:axId val="230708495"/>
      </c:barChart>
      <c:catAx>
        <c:axId val="97360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708495"/>
        <c:crosses val="autoZero"/>
        <c:auto val="1"/>
        <c:lblAlgn val="ctr"/>
        <c:lblOffset val="100"/>
        <c:noMultiLvlLbl val="0"/>
      </c:catAx>
      <c:valAx>
        <c:axId val="230708495"/>
        <c:scaling>
          <c:orientation val="minMax"/>
          <c:min val="500000"/>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60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[Procurement_Analytics.xlsx]Savings and average!Savings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latin typeface="Times New Roman" panose="02020603050405020304" pitchFamily="18" charset="0"/>
                <a:cs typeface="Times New Roman" panose="02020603050405020304" pitchFamily="18" charset="0"/>
              </a:rPr>
              <a:t>Whic</a:t>
            </a:r>
            <a:r>
              <a:rPr lang="en-US" sz="2000" b="1" baseline="0">
                <a:latin typeface="Times New Roman" panose="02020603050405020304" pitchFamily="18" charset="0"/>
                <a:cs typeface="Times New Roman" panose="02020603050405020304" pitchFamily="18" charset="0"/>
              </a:rPr>
              <a:t>h department saved the most in FY2024</a:t>
            </a:r>
            <a:endParaRPr lang="en-US" sz="2000" b="1">
              <a:latin typeface="Times New Roman" panose="02020603050405020304" pitchFamily="18" charset="0"/>
              <a:cs typeface="Times New Roman" panose="02020603050405020304" pitchFamily="18" charset="0"/>
            </a:endParaRPr>
          </a:p>
        </c:rich>
      </c:tx>
      <c:layout>
        <c:manualLayout>
          <c:xMode val="edge"/>
          <c:yMode val="edge"/>
          <c:x val="0.22560866547087019"/>
          <c:y val="3.99490504863362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'Savings and average'!$B$3</c:f>
              <c:strCache>
                <c:ptCount val="1"/>
                <c:pt idx="0">
                  <c:v>Total</c:v>
                </c:pt>
              </c:strCache>
            </c:strRef>
          </c:tx>
          <c:spPr>
            <a:solidFill>
              <a:schemeClr val="accent4"/>
            </a:solidFill>
            <a:ln>
              <a:noFill/>
            </a:ln>
            <a:effectLst/>
          </c:spPr>
          <c:invertIfNegative val="0"/>
          <c:cat>
            <c:strRef>
              <c:f>'Savings and average'!$A$4:$A$9</c:f>
              <c:strCache>
                <c:ptCount val="6"/>
                <c:pt idx="0">
                  <c:v>IT</c:v>
                </c:pt>
                <c:pt idx="1">
                  <c:v>Logistics</c:v>
                </c:pt>
                <c:pt idx="2">
                  <c:v>Quality</c:v>
                </c:pt>
                <c:pt idx="3">
                  <c:v>Admin</c:v>
                </c:pt>
                <c:pt idx="4">
                  <c:v>R&amp;D</c:v>
                </c:pt>
                <c:pt idx="5">
                  <c:v>Production</c:v>
                </c:pt>
              </c:strCache>
            </c:strRef>
          </c:cat>
          <c:val>
            <c:numRef>
              <c:f>'Savings and average'!$B$4:$B$9</c:f>
              <c:numCache>
                <c:formatCode>"₹"\ #,##0</c:formatCode>
                <c:ptCount val="6"/>
                <c:pt idx="0">
                  <c:v>1646517.4637000002</c:v>
                </c:pt>
                <c:pt idx="1">
                  <c:v>2126830.2693999992</c:v>
                </c:pt>
                <c:pt idx="2">
                  <c:v>2196332.6494999989</c:v>
                </c:pt>
                <c:pt idx="3">
                  <c:v>2688672.311899995</c:v>
                </c:pt>
                <c:pt idx="4">
                  <c:v>3014819.708399999</c:v>
                </c:pt>
                <c:pt idx="5">
                  <c:v>3211775.634399998</c:v>
                </c:pt>
              </c:numCache>
            </c:numRef>
          </c:val>
          <c:extLst>
            <c:ext xmlns:c16="http://schemas.microsoft.com/office/drawing/2014/chart" uri="{C3380CC4-5D6E-409C-BE32-E72D297353CC}">
              <c16:uniqueId val="{00000000-19CB-4B47-96A2-890E74AFD036}"/>
            </c:ext>
          </c:extLst>
        </c:ser>
        <c:dLbls>
          <c:showLegendKey val="0"/>
          <c:showVal val="0"/>
          <c:showCatName val="0"/>
          <c:showSerName val="0"/>
          <c:showPercent val="0"/>
          <c:showBubbleSize val="0"/>
        </c:dLbls>
        <c:gapWidth val="182"/>
        <c:axId val="1508113551"/>
        <c:axId val="545990863"/>
      </c:barChart>
      <c:catAx>
        <c:axId val="1508113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990863"/>
        <c:crosses val="autoZero"/>
        <c:auto val="1"/>
        <c:lblAlgn val="ctr"/>
        <c:lblOffset val="100"/>
        <c:noMultiLvlLbl val="0"/>
      </c:catAx>
      <c:valAx>
        <c:axId val="545990863"/>
        <c:scaling>
          <c:orientation val="minMax"/>
          <c:min val="1000000"/>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11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[Procurement_Analytics.xlsx]Vendorwise Spending!PivotTable8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latin typeface="Times New Roman" panose="02020603050405020304" pitchFamily="18" charset="0"/>
                <a:cs typeface="Times New Roman" panose="02020603050405020304" pitchFamily="18" charset="0"/>
              </a:rPr>
              <a:t>Total</a:t>
            </a:r>
            <a:r>
              <a:rPr lang="en-IN" sz="1800" baseline="0">
                <a:latin typeface="Times New Roman" panose="02020603050405020304" pitchFamily="18" charset="0"/>
                <a:cs typeface="Times New Roman" panose="02020603050405020304" pitchFamily="18" charset="0"/>
              </a:rPr>
              <a:t> Expenditure with respect to vendor </a:t>
            </a:r>
            <a:endParaRPr lang="en-IN" sz="1800">
              <a:latin typeface="Times New Roman" panose="02020603050405020304" pitchFamily="18" charset="0"/>
              <a:cs typeface="Times New Roman" panose="02020603050405020304" pitchFamily="18" charset="0"/>
            </a:endParaRPr>
          </a:p>
        </c:rich>
      </c:tx>
      <c:layout>
        <c:manualLayout>
          <c:xMode val="edge"/>
          <c:yMode val="edge"/>
          <c:x val="0.27985206394655215"/>
          <c:y val="1.61550888529886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'Vendorwise Spending'!$B$3</c:f>
              <c:strCache>
                <c:ptCount val="1"/>
                <c:pt idx="0">
                  <c:v> Total_expenditure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'Vendorwise Spending'!$A$4:$A$18</c:f>
              <c:strCache>
                <c:ptCount val="15"/>
                <c:pt idx="0">
                  <c:v>Infra Solutions India</c:v>
                </c:pt>
                <c:pt idx="1">
                  <c:v>Deccan Packaging Co</c:v>
                </c:pt>
                <c:pt idx="2">
                  <c:v>Mehta Steel Works</c:v>
                </c:pt>
                <c:pt idx="3">
                  <c:v>Tech Vision Pvt Ltd</c:v>
                </c:pt>
                <c:pt idx="4">
                  <c:v>Coromandel Components</c:v>
                </c:pt>
                <c:pt idx="5">
                  <c:v>Sharma Industrials</c:v>
                </c:pt>
                <c:pt idx="6">
                  <c:v>Nair Logistics Co</c:v>
                </c:pt>
                <c:pt idx="7">
                  <c:v>Patel Packaging Ltd</c:v>
                </c:pt>
                <c:pt idx="8">
                  <c:v>Krishna Auto Parts</c:v>
                </c:pt>
                <c:pt idx="9">
                  <c:v>SunTech Electronics</c:v>
                </c:pt>
                <c:pt idx="10">
                  <c:v>Apex Components Pvt Ltd</c:v>
                </c:pt>
                <c:pt idx="11">
                  <c:v>Sri Lakshmi Traders</c:v>
                </c:pt>
                <c:pt idx="12">
                  <c:v>Reddy Manufacturing</c:v>
                </c:pt>
                <c:pt idx="13">
                  <c:v>GlobalTech Supplies</c:v>
                </c:pt>
                <c:pt idx="14">
                  <c:v>Bangalore Office Supplies</c:v>
                </c:pt>
              </c:strCache>
            </c:strRef>
          </c:cat>
          <c:val>
            <c:numRef>
              <c:f>'Vendorwise Spending'!$B$4:$B$18</c:f>
              <c:numCache>
                <c:formatCode>"₹"\ #,##0</c:formatCode>
                <c:ptCount val="15"/>
                <c:pt idx="0">
                  <c:v>14409404.939999999</c:v>
                </c:pt>
                <c:pt idx="1">
                  <c:v>27606205.289999899</c:v>
                </c:pt>
                <c:pt idx="2">
                  <c:v>27602889.68</c:v>
                </c:pt>
                <c:pt idx="3">
                  <c:v>20690226.5499999</c:v>
                </c:pt>
                <c:pt idx="4">
                  <c:v>31222962.029999901</c:v>
                </c:pt>
                <c:pt idx="5">
                  <c:v>22528899.599999901</c:v>
                </c:pt>
                <c:pt idx="6">
                  <c:v>27004595.5</c:v>
                </c:pt>
                <c:pt idx="7">
                  <c:v>32412430.850000001</c:v>
                </c:pt>
                <c:pt idx="8">
                  <c:v>19702229.379999999</c:v>
                </c:pt>
                <c:pt idx="9">
                  <c:v>33256767.439999901</c:v>
                </c:pt>
                <c:pt idx="10">
                  <c:v>40609103.07</c:v>
                </c:pt>
                <c:pt idx="11">
                  <c:v>21776190.370000001</c:v>
                </c:pt>
                <c:pt idx="12">
                  <c:v>28723085.5499999</c:v>
                </c:pt>
                <c:pt idx="13">
                  <c:v>26332485.370000001</c:v>
                </c:pt>
                <c:pt idx="14">
                  <c:v>28702268.249999899</c:v>
                </c:pt>
              </c:numCache>
            </c:numRef>
          </c:val>
          <c:extLst>
            <c:ext xmlns:c16="http://schemas.microsoft.com/office/drawing/2014/chart" uri="{C3380CC4-5D6E-409C-BE32-E72D297353CC}">
              <c16:uniqueId val="{00000000-6F2E-4289-9C33-FDF0A7F5867C}"/>
            </c:ext>
          </c:extLst>
        </c:ser>
        <c:ser>
          <c:idx val="1"/>
          <c:order val="1"/>
          <c:tx>
            <c:strRef>
              <c:f>'Vendorwise Spending'!$C$3</c:f>
              <c:strCache>
                <c:ptCount val="1"/>
                <c:pt idx="0">
                  <c:v>Total_discount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'Vendorwise Spending'!$A$4:$A$18</c:f>
              <c:strCache>
                <c:ptCount val="15"/>
                <c:pt idx="0">
                  <c:v>Infra Solutions India</c:v>
                </c:pt>
                <c:pt idx="1">
                  <c:v>Deccan Packaging Co</c:v>
                </c:pt>
                <c:pt idx="2">
                  <c:v>Mehta Steel Works</c:v>
                </c:pt>
                <c:pt idx="3">
                  <c:v>Tech Vision Pvt Ltd</c:v>
                </c:pt>
                <c:pt idx="4">
                  <c:v>Coromandel Components</c:v>
                </c:pt>
                <c:pt idx="5">
                  <c:v>Sharma Industrials</c:v>
                </c:pt>
                <c:pt idx="6">
                  <c:v>Nair Logistics Co</c:v>
                </c:pt>
                <c:pt idx="7">
                  <c:v>Patel Packaging Ltd</c:v>
                </c:pt>
                <c:pt idx="8">
                  <c:v>Krishna Auto Parts</c:v>
                </c:pt>
                <c:pt idx="9">
                  <c:v>SunTech Electronics</c:v>
                </c:pt>
                <c:pt idx="10">
                  <c:v>Apex Components Pvt Ltd</c:v>
                </c:pt>
                <c:pt idx="11">
                  <c:v>Sri Lakshmi Traders</c:v>
                </c:pt>
                <c:pt idx="12">
                  <c:v>Reddy Manufacturing</c:v>
                </c:pt>
                <c:pt idx="13">
                  <c:v>GlobalTech Supplies</c:v>
                </c:pt>
                <c:pt idx="14">
                  <c:v>Bangalore Office Supplies</c:v>
                </c:pt>
              </c:strCache>
            </c:strRef>
          </c:cat>
          <c:val>
            <c:numRef>
              <c:f>'Vendorwise Spending'!$C$4:$C$18</c:f>
              <c:numCache>
                <c:formatCode>"₹"\ #,##0</c:formatCode>
                <c:ptCount val="15"/>
                <c:pt idx="0">
                  <c:v>300473.95280000003</c:v>
                </c:pt>
                <c:pt idx="1">
                  <c:v>441512.9399</c:v>
                </c:pt>
                <c:pt idx="2">
                  <c:v>607892.8223</c:v>
                </c:pt>
                <c:pt idx="3">
                  <c:v>764008.82709999999</c:v>
                </c:pt>
                <c:pt idx="4">
                  <c:v>829701.80779999995</c:v>
                </c:pt>
                <c:pt idx="5">
                  <c:v>863107.36750000005</c:v>
                </c:pt>
                <c:pt idx="6">
                  <c:v>873540.57440000004</c:v>
                </c:pt>
                <c:pt idx="7">
                  <c:v>967246.21629999997</c:v>
                </c:pt>
                <c:pt idx="8">
                  <c:v>968326.21580000001</c:v>
                </c:pt>
                <c:pt idx="9">
                  <c:v>1144953.1114999901</c:v>
                </c:pt>
                <c:pt idx="10">
                  <c:v>1170605.3648999999</c:v>
                </c:pt>
                <c:pt idx="11">
                  <c:v>1317521.21419999</c:v>
                </c:pt>
                <c:pt idx="12">
                  <c:v>1379005.8862000001</c:v>
                </c:pt>
                <c:pt idx="13">
                  <c:v>1446816.4992</c:v>
                </c:pt>
                <c:pt idx="14">
                  <c:v>1810235.2374</c:v>
                </c:pt>
              </c:numCache>
            </c:numRef>
          </c:val>
          <c:extLst>
            <c:ext xmlns:c16="http://schemas.microsoft.com/office/drawing/2014/chart" uri="{C3380CC4-5D6E-409C-BE32-E72D297353CC}">
              <c16:uniqueId val="{00000004-6F2E-4289-9C33-FDF0A7F5867C}"/>
            </c:ext>
          </c:extLst>
        </c:ser>
        <c:dLbls>
          <c:showLegendKey val="0"/>
          <c:showVal val="0"/>
          <c:showCatName val="0"/>
          <c:showSerName val="0"/>
          <c:showPercent val="0"/>
          <c:showBubbleSize val="0"/>
        </c:dLbls>
        <c:gapWidth val="182"/>
        <c:axId val="1556784367"/>
        <c:axId val="546003823"/>
      </c:barChart>
      <c:catAx>
        <c:axId val="155678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003823"/>
        <c:crosses val="autoZero"/>
        <c:auto val="1"/>
        <c:lblAlgn val="ctr"/>
        <c:lblOffset val="100"/>
        <c:noMultiLvlLbl val="0"/>
      </c:catAx>
      <c:valAx>
        <c:axId val="546003823"/>
        <c:scaling>
          <c:orientation val="minMax"/>
          <c:min val="100000"/>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784367"/>
        <c:crosses val="autoZero"/>
        <c:crossBetween val="between"/>
      </c:valAx>
      <c:spPr>
        <a:noFill/>
        <a:ln>
          <a:noFill/>
        </a:ln>
        <a:effectLst/>
      </c:spPr>
    </c:plotArea>
    <c:legend>
      <c:legendPos val="r"/>
      <c:layout>
        <c:manualLayout>
          <c:xMode val="edge"/>
          <c:yMode val="edge"/>
          <c:x val="0.8606901783985963"/>
          <c:y val="2.5203884353659462E-2"/>
          <c:w val="0.12344939336984145"/>
          <c:h val="9.635078157343655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0</xdr:colOff>
      <xdr:row>14</xdr:row>
      <xdr:rowOff>312420</xdr:rowOff>
    </xdr:from>
    <xdr:to>
      <xdr:col>4</xdr:col>
      <xdr:colOff>0</xdr:colOff>
      <xdr:row>20</xdr:row>
      <xdr:rowOff>167640</xdr:rowOff>
    </xdr:to>
    <xdr:sp macro="" textlink="">
      <xdr:nvSpPr>
        <xdr:cNvPr id="2" name="TextBox 1">
          <a:extLst>
            <a:ext uri="{FF2B5EF4-FFF2-40B4-BE49-F238E27FC236}">
              <a16:creationId xmlns:a16="http://schemas.microsoft.com/office/drawing/2014/main" id="{3E30EA4D-9D6F-8DB2-305A-F80DBA8852C8}"/>
            </a:ext>
          </a:extLst>
        </xdr:cNvPr>
        <xdr:cNvSpPr txBox="1"/>
      </xdr:nvSpPr>
      <xdr:spPr>
        <a:xfrm>
          <a:off x="4693920" y="3009900"/>
          <a:ext cx="1325880" cy="1089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200 purchase orders across 15 vendors and 6 departments — FY2024</a:t>
          </a:r>
        </a:p>
      </xdr:txBody>
    </xdr:sp>
    <xdr:clientData/>
  </xdr:twoCellAnchor>
  <xdr:twoCellAnchor>
    <xdr:from>
      <xdr:col>4</xdr:col>
      <xdr:colOff>0</xdr:colOff>
      <xdr:row>14</xdr:row>
      <xdr:rowOff>312420</xdr:rowOff>
    </xdr:from>
    <xdr:to>
      <xdr:col>4</xdr:col>
      <xdr:colOff>1821180</xdr:colOff>
      <xdr:row>20</xdr:row>
      <xdr:rowOff>152400</xdr:rowOff>
    </xdr:to>
    <xdr:sp macro="" textlink="">
      <xdr:nvSpPr>
        <xdr:cNvPr id="3" name="TextBox 2">
          <a:extLst>
            <a:ext uri="{FF2B5EF4-FFF2-40B4-BE49-F238E27FC236}">
              <a16:creationId xmlns:a16="http://schemas.microsoft.com/office/drawing/2014/main" id="{DC33ABB1-8A28-0AC9-6759-31150C6115AD}"/>
            </a:ext>
          </a:extLst>
        </xdr:cNvPr>
        <xdr:cNvSpPr txBox="1"/>
      </xdr:nvSpPr>
      <xdr:spPr>
        <a:xfrm>
          <a:off x="6019800" y="3009900"/>
          <a:ext cx="1821180" cy="1074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Avg PO value: ₹20.1 lakh | Highest spending dept: R&amp;D ₹7.05 crore</a:t>
          </a:r>
        </a:p>
      </xdr:txBody>
    </xdr:sp>
    <xdr:clientData/>
  </xdr:twoCellAnchor>
  <xdr:twoCellAnchor>
    <xdr:from>
      <xdr:col>4</xdr:col>
      <xdr:colOff>1813560</xdr:colOff>
      <xdr:row>15</xdr:row>
      <xdr:rowOff>7620</xdr:rowOff>
    </xdr:from>
    <xdr:to>
      <xdr:col>6</xdr:col>
      <xdr:colOff>0</xdr:colOff>
      <xdr:row>22</xdr:row>
      <xdr:rowOff>30480</xdr:rowOff>
    </xdr:to>
    <xdr:sp macro="" textlink="">
      <xdr:nvSpPr>
        <xdr:cNvPr id="4" name="TextBox 3">
          <a:extLst>
            <a:ext uri="{FF2B5EF4-FFF2-40B4-BE49-F238E27FC236}">
              <a16:creationId xmlns:a16="http://schemas.microsoft.com/office/drawing/2014/main" id="{12A35694-63E1-3BCC-272C-88EBAF1B18C8}"/>
            </a:ext>
          </a:extLst>
        </xdr:cNvPr>
        <xdr:cNvSpPr txBox="1"/>
      </xdr:nvSpPr>
      <xdr:spPr>
        <a:xfrm>
          <a:off x="7833360" y="3025140"/>
          <a:ext cx="1554480" cy="1303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50"/>
            <a:t>Overall discount rate: 3.7% | Best performing vendor: Bangalore Office Supplies (6.3% discount rate)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38101</xdr:colOff>
      <xdr:row>0</xdr:row>
      <xdr:rowOff>22861</xdr:rowOff>
    </xdr:from>
    <xdr:to>
      <xdr:col>13</xdr:col>
      <xdr:colOff>45721</xdr:colOff>
      <xdr:row>29</xdr:row>
      <xdr:rowOff>15241</xdr:rowOff>
    </xdr:to>
    <xdr:graphicFrame macro="">
      <xdr:nvGraphicFramePr>
        <xdr:cNvPr id="4" name="Chart 3">
          <a:extLst>
            <a:ext uri="{FF2B5EF4-FFF2-40B4-BE49-F238E27FC236}">
              <a16:creationId xmlns:a16="http://schemas.microsoft.com/office/drawing/2014/main" id="{705C6BBA-A384-0009-D458-8B0C027DD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99060</xdr:colOff>
      <xdr:row>0</xdr:row>
      <xdr:rowOff>70485</xdr:rowOff>
    </xdr:from>
    <xdr:to>
      <xdr:col>14</xdr:col>
      <xdr:colOff>1264920</xdr:colOff>
      <xdr:row>24</xdr:row>
      <xdr:rowOff>99060</xdr:rowOff>
    </xdr:to>
    <mc:AlternateContent xmlns:mc="http://schemas.openxmlformats.org/markup-compatibility/2006" xmlns:a14="http://schemas.microsoft.com/office/drawing/2010/main">
      <mc:Choice Requires="a14">
        <xdr:graphicFrame macro="">
          <xdr:nvGraphicFramePr>
            <xdr:cNvPr id="7" name="Vendor_Name">
              <a:extLst>
                <a:ext uri="{FF2B5EF4-FFF2-40B4-BE49-F238E27FC236}">
                  <a16:creationId xmlns:a16="http://schemas.microsoft.com/office/drawing/2014/main" id="{0A196B1F-EBC1-1942-1346-7333D1225252}"/>
                </a:ext>
              </a:extLst>
            </xdr:cNvPr>
            <xdr:cNvGraphicFramePr/>
          </xdr:nvGraphicFramePr>
          <xdr:xfrm>
            <a:off x="0" y="0"/>
            <a:ext cx="0" cy="0"/>
          </xdr:xfrm>
          <a:graphic>
            <a:graphicData uri="http://schemas.microsoft.com/office/drawing/2010/slicer">
              <sle:slicer xmlns:sle="http://schemas.microsoft.com/office/drawing/2010/slicer" name="Vendor_Name"/>
            </a:graphicData>
          </a:graphic>
        </xdr:graphicFrame>
      </mc:Choice>
      <mc:Fallback xmlns="">
        <xdr:sp macro="" textlink="">
          <xdr:nvSpPr>
            <xdr:cNvPr id="0" name=""/>
            <xdr:cNvSpPr>
              <a:spLocks noTextEdit="1"/>
            </xdr:cNvSpPr>
          </xdr:nvSpPr>
          <xdr:spPr>
            <a:xfrm>
              <a:off x="12649200" y="70485"/>
              <a:ext cx="2514600" cy="4417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601980</xdr:colOff>
      <xdr:row>1</xdr:row>
      <xdr:rowOff>129540</xdr:rowOff>
    </xdr:from>
    <xdr:to>
      <xdr:col>10</xdr:col>
      <xdr:colOff>76200</xdr:colOff>
      <xdr:row>23</xdr:row>
      <xdr:rowOff>99060</xdr:rowOff>
    </xdr:to>
    <xdr:graphicFrame macro="">
      <xdr:nvGraphicFramePr>
        <xdr:cNvPr id="4" name="Chart 3">
          <a:extLst>
            <a:ext uri="{FF2B5EF4-FFF2-40B4-BE49-F238E27FC236}">
              <a16:creationId xmlns:a16="http://schemas.microsoft.com/office/drawing/2014/main" id="{37E2FA12-CDB2-72F1-4F57-3973882674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68580</xdr:colOff>
      <xdr:row>0</xdr:row>
      <xdr:rowOff>99060</xdr:rowOff>
    </xdr:from>
    <xdr:to>
      <xdr:col>18</xdr:col>
      <xdr:colOff>169334</xdr:colOff>
      <xdr:row>26</xdr:row>
      <xdr:rowOff>152400</xdr:rowOff>
    </xdr:to>
    <xdr:graphicFrame macro="">
      <xdr:nvGraphicFramePr>
        <xdr:cNvPr id="5" name="Chart 4">
          <a:extLst>
            <a:ext uri="{FF2B5EF4-FFF2-40B4-BE49-F238E27FC236}">
              <a16:creationId xmlns:a16="http://schemas.microsoft.com/office/drawing/2014/main" id="{7B20DCE2-2C66-7784-FB27-0EB5885076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215417</xdr:colOff>
      <xdr:row>0</xdr:row>
      <xdr:rowOff>113696</xdr:rowOff>
    </xdr:from>
    <xdr:to>
      <xdr:col>21</xdr:col>
      <xdr:colOff>215417</xdr:colOff>
      <xdr:row>20</xdr:row>
      <xdr:rowOff>76200</xdr:rowOff>
    </xdr:to>
    <mc:AlternateContent xmlns:mc="http://schemas.openxmlformats.org/markup-compatibility/2006" xmlns:a14="http://schemas.microsoft.com/office/drawing/2010/main">
      <mc:Choice Requires="a14">
        <xdr:graphicFrame macro="">
          <xdr:nvGraphicFramePr>
            <xdr:cNvPr id="2" name="Vendor_Name 1">
              <a:extLst>
                <a:ext uri="{FF2B5EF4-FFF2-40B4-BE49-F238E27FC236}">
                  <a16:creationId xmlns:a16="http://schemas.microsoft.com/office/drawing/2014/main" id="{22444B35-14E1-6662-A881-0DFC3F08D411}"/>
                </a:ext>
              </a:extLst>
            </xdr:cNvPr>
            <xdr:cNvGraphicFramePr/>
          </xdr:nvGraphicFramePr>
          <xdr:xfrm>
            <a:off x="0" y="0"/>
            <a:ext cx="0" cy="0"/>
          </xdr:xfrm>
          <a:graphic>
            <a:graphicData uri="http://schemas.microsoft.com/office/drawing/2010/slicer">
              <sle:slicer xmlns:sle="http://schemas.microsoft.com/office/drawing/2010/slicer" name="Vendor_Name 1"/>
            </a:graphicData>
          </a:graphic>
        </xdr:graphicFrame>
      </mc:Choice>
      <mc:Fallback xmlns="">
        <xdr:sp macro="" textlink="">
          <xdr:nvSpPr>
            <xdr:cNvPr id="0" name=""/>
            <xdr:cNvSpPr>
              <a:spLocks noTextEdit="1"/>
            </xdr:cNvSpPr>
          </xdr:nvSpPr>
          <xdr:spPr>
            <a:xfrm>
              <a:off x="16065017" y="113696"/>
              <a:ext cx="1828800" cy="4365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213360</xdr:colOff>
      <xdr:row>2</xdr:row>
      <xdr:rowOff>7621</xdr:rowOff>
    </xdr:from>
    <xdr:to>
      <xdr:col>10</xdr:col>
      <xdr:colOff>38100</xdr:colOff>
      <xdr:row>13</xdr:row>
      <xdr:rowOff>121921</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8F5D2D95-FDAC-9841-2D4F-01730BA77D0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884420" y="373381"/>
              <a:ext cx="1828800" cy="2125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shanth Prasanna" refreshedDate="46286.699391898146" createdVersion="8" refreshedVersion="8" minRefreshableVersion="3" recordCount="80" xr:uid="{EE256FB3-8EB6-43F1-8F58-B87C72E57D6A}">
  <cacheSource type="worksheet">
    <worksheetSource ref="D1:G81" sheet="Spend&amp;savings departmentwise"/>
  </cacheSource>
  <cacheFields count="4">
    <cacheField name="Total_POs" numFmtId="0">
      <sharedItems containsSemiMixedTypes="0" containsString="0" containsNumber="1" containsInteger="1" minValue="1" maxValue="7"/>
    </cacheField>
    <cacheField name="Total_Spend" numFmtId="164">
      <sharedItems containsSemiMixedTypes="0" containsString="0" containsNumber="1" minValue="405915.67" maxValue="18551870.079999998"/>
    </cacheField>
    <cacheField name="Avg_PO_Value" numFmtId="164">
      <sharedItems containsSemiMixedTypes="0" containsString="0" containsNumber="1" minValue="267010.7" maxValue="6359053.0999999996"/>
    </cacheField>
    <cacheField name="Total_Savings" numFmtId="164">
      <sharedItems containsSemiMixedTypes="0" containsString="0" containsNumber="1" minValue="0" maxValue="104526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shanth Prasanna" refreshedDate="46286.699392129631" createdVersion="8" refreshedVersion="8" minRefreshableVersion="3" recordCount="80" xr:uid="{09DAA27B-BAE4-4160-BADC-6A59D01A3FCB}">
  <cacheSource type="worksheet">
    <worksheetSource ref="A1:G81" sheet="Spend&amp;savings departmentwise"/>
  </cacheSource>
  <cacheFields count="7">
    <cacheField name="Department" numFmtId="0">
      <sharedItems count="6">
        <s v="Admin"/>
        <s v="IT"/>
        <s v="Logistics"/>
        <s v="Production"/>
        <s v="Quality"/>
        <s v="R&amp;D"/>
      </sharedItems>
    </cacheField>
    <cacheField name="Category" numFmtId="0">
      <sharedItems/>
    </cacheField>
    <cacheField name="Vendor_Name" numFmtId="0">
      <sharedItems/>
    </cacheField>
    <cacheField name="Total_POs" numFmtId="0">
      <sharedItems containsSemiMixedTypes="0" containsString="0" containsNumber="1" containsInteger="1" minValue="1" maxValue="7"/>
    </cacheField>
    <cacheField name="Total_Spend" numFmtId="164">
      <sharedItems containsSemiMixedTypes="0" containsString="0" containsNumber="1" minValue="405915.67" maxValue="18551870.079999998"/>
    </cacheField>
    <cacheField name="Avg_PO_Value" numFmtId="164">
      <sharedItems containsSemiMixedTypes="0" containsString="0" containsNumber="1" minValue="267010.7" maxValue="6359053.0999999996"/>
    </cacheField>
    <cacheField name="Total_Savings" numFmtId="164">
      <sharedItems containsSemiMixedTypes="0" containsString="0" containsNumber="1" minValue="0" maxValue="104526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shanth Prasanna" refreshedDate="46286.699392129631" createdVersion="8" refreshedVersion="8" minRefreshableVersion="3" recordCount="80" xr:uid="{5BE5B4C0-4528-4067-9735-CAA880F89A44}">
  <cacheSource type="worksheet">
    <worksheetSource ref="B1:F81" sheet="Procurement_Vendor Final INR"/>
  </cacheSource>
  <cacheFields count="5">
    <cacheField name="Vendor_Name" numFmtId="0">
      <sharedItems count="15">
        <s v="Sharma Industrials"/>
        <s v="Apex Components Pvt Ltd"/>
        <s v="GlobalTech Supplies"/>
        <s v="Nair Logistics Co"/>
        <s v="Mehta Steel Works"/>
        <s v="SunTech Electronics"/>
        <s v="Patel Packaging Ltd"/>
        <s v="Krishna Auto Parts"/>
        <s v="Bangalore Office Supplies"/>
        <s v="Reddy Manufacturing"/>
        <s v="Infra Solutions India"/>
        <s v="Coromandel Components"/>
        <s v="Tech Vision Pvt Ltd"/>
        <s v="Sri Lakshmi Traders"/>
        <s v="Deccan Packaging Co"/>
      </sharedItems>
    </cacheField>
    <cacheField name="Category" numFmtId="0">
      <sharedItems count="6">
        <s v="Raw Materials"/>
        <s v="Components"/>
        <s v="IT Equipment"/>
        <s v="Packaging"/>
        <s v="Office Supplies"/>
        <s v="Services"/>
      </sharedItems>
    </cacheField>
    <cacheField name="Department" numFmtId="0">
      <sharedItems count="6">
        <s v="Admin"/>
        <s v="Logistics"/>
        <s v="Production"/>
        <s v="Quality"/>
        <s v="R&amp;D"/>
        <s v="IT"/>
      </sharedItems>
    </cacheField>
    <cacheField name="Total_Purchases" numFmtId="0">
      <sharedItems containsSemiMixedTypes="0" containsString="0" containsNumber="1" containsInteger="1" minValue="1" maxValue="7"/>
    </cacheField>
    <cacheField name="Total_Spending INR" numFmtId="164">
      <sharedItems containsSemiMixedTypes="0" containsString="0" containsNumber="1" minValue="405915.67" maxValue="18551870.079999998"/>
    </cacheField>
  </cacheFields>
  <extLst>
    <ext xmlns:x14="http://schemas.microsoft.com/office/spreadsheetml/2009/9/main" uri="{725AE2AE-9491-48be-B2B4-4EB974FC3084}">
      <x14:pivotCacheDefinition pivotCacheId="28803951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shanth Prasanna" refreshedDate="46286.871527314812" createdVersion="8" refreshedVersion="8" minRefreshableVersion="3" recordCount="15" xr:uid="{54FB50EE-8449-4A4A-B78F-98B102626584}">
  <cacheSource type="worksheet">
    <worksheetSource ref="A1:E16" sheet="Total spend and Discount"/>
  </cacheSource>
  <cacheFields count="5">
    <cacheField name="Vendor_Name" numFmtId="0">
      <sharedItems count="15">
        <s v="Apex Components Pvt Ltd"/>
        <s v="SunTech Electronics"/>
        <s v="Patel Packaging Ltd"/>
        <s v="Coromandel Components"/>
        <s v="Reddy Manufacturing"/>
        <s v="Bangalore Office Supplies"/>
        <s v="Deccan Packaging Co"/>
        <s v="Mehta Steel Works"/>
        <s v="Nair Logistics Co"/>
        <s v="GlobalTech Supplies"/>
        <s v="Sharma Industrials"/>
        <s v="Sri Lakshmi Traders"/>
        <s v="Tech Vision Pvt Ltd"/>
        <s v="Krishna Auto Parts"/>
        <s v="Infra Solutions India"/>
      </sharedItems>
    </cacheField>
    <cacheField name="Total_Purchases" numFmtId="0">
      <sharedItems containsSemiMixedTypes="0" containsString="0" containsNumber="1" containsInteger="1" minValue="8" maxValue="19"/>
    </cacheField>
    <cacheField name="Total_expenditure" numFmtId="0">
      <sharedItems containsSemiMixedTypes="0" containsString="0" containsNumber="1" minValue="14409404.939999999" maxValue="40609103.07"/>
    </cacheField>
    <cacheField name="Overall_discount" numFmtId="0">
      <sharedItems containsSemiMixedTypes="0" containsString="0" containsNumber="1" minValue="300473.95280000003" maxValue="1810235.2374"/>
    </cacheField>
    <cacheField name="Discount Percentage" numFmtId="2">
      <sharedItems containsSemiMixedTypes="0" containsString="0" containsNumber="1" minValue="1.5993249896606911" maxValue="6.306941394431453"/>
    </cacheField>
  </cacheFields>
  <extLst>
    <ext xmlns:x14="http://schemas.microsoft.com/office/spreadsheetml/2009/9/main" uri="{725AE2AE-9491-48be-B2B4-4EB974FC3084}">
      <x14:pivotCacheDefinition pivotCacheId="116661375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shanth Prasanna" refreshedDate="46294.569849537038" createdVersion="8" refreshedVersion="8" minRefreshableVersion="3" recordCount="200" xr:uid="{F2ACDE35-1804-4A69-91C2-C87EE540C730}">
  <cacheSource type="worksheet">
    <worksheetSource ref="A1:J201" sheet="Delivery Status"/>
  </cacheSource>
  <cacheFields count="18">
    <cacheField name="PO_Date" numFmtId="14">
      <sharedItems containsSemiMixedTypes="0" containsNonDate="0" containsDate="1" containsString="0" minDate="2024-01-09T00:00:00" maxDate="2024-12-29T00:00:00" count="162">
        <d v="2024-10-12T00:00:00"/>
        <d v="2024-12-22T00:00:00"/>
        <d v="2024-11-26T00:00:00"/>
        <d v="2024-10-29T00:00:00"/>
        <d v="2024-08-19T00:00:00"/>
        <d v="2024-04-30T00:00:00"/>
        <d v="2024-11-30T00:00:00"/>
        <d v="2024-03-13T00:00:00"/>
        <d v="2024-03-21T00:00:00"/>
        <d v="2024-03-24T00:00:00"/>
        <d v="2024-04-05T00:00:00"/>
        <d v="2024-04-12T00:00:00"/>
        <d v="2024-08-26T00:00:00"/>
        <d v="2024-02-13T00:00:00"/>
        <d v="2024-01-25T00:00:00"/>
        <d v="2024-12-28T00:00:00"/>
        <d v="2024-06-10T00:00:00"/>
        <d v="2024-10-09T00:00:00"/>
        <d v="2024-07-10T00:00:00"/>
        <d v="2024-08-27T00:00:00"/>
        <d v="2024-08-02T00:00:00"/>
        <d v="2024-03-04T00:00:00"/>
        <d v="2024-06-16T00:00:00"/>
        <d v="2024-12-27T00:00:00"/>
        <d v="2024-11-29T00:00:00"/>
        <d v="2024-09-04T00:00:00"/>
        <d v="2024-02-07T00:00:00"/>
        <d v="2024-06-15T00:00:00"/>
        <d v="2024-08-21T00:00:00"/>
        <d v="2024-01-22T00:00:00"/>
        <d v="2024-04-23T00:00:00"/>
        <d v="2024-06-01T00:00:00"/>
        <d v="2024-07-06T00:00:00"/>
        <d v="2024-11-06T00:00:00"/>
        <d v="2024-01-11T00:00:00"/>
        <d v="2024-02-02T00:00:00"/>
        <d v="2024-03-01T00:00:00"/>
        <d v="2024-06-02T00:00:00"/>
        <d v="2024-02-10T00:00:00"/>
        <d v="2024-09-24T00:00:00"/>
        <d v="2024-04-27T00:00:00"/>
        <d v="2024-05-31T00:00:00"/>
        <d v="2024-10-03T00:00:00"/>
        <d v="2024-10-14T00:00:00"/>
        <d v="2024-08-15T00:00:00"/>
        <d v="2024-08-14T00:00:00"/>
        <d v="2024-04-19T00:00:00"/>
        <d v="2024-11-19T00:00:00"/>
        <d v="2024-08-22T00:00:00"/>
        <d v="2024-09-08T00:00:00"/>
        <d v="2024-02-26T00:00:00"/>
        <d v="2024-04-26T00:00:00"/>
        <d v="2024-04-09T00:00:00"/>
        <d v="2024-02-08T00:00:00"/>
        <d v="2024-11-12T00:00:00"/>
        <d v="2024-08-29T00:00:00"/>
        <d v="2024-03-31T00:00:00"/>
        <d v="2024-10-02T00:00:00"/>
        <d v="2024-01-09T00:00:00"/>
        <d v="2024-05-21T00:00:00"/>
        <d v="2024-11-08T00:00:00"/>
        <d v="2024-09-14T00:00:00"/>
        <d v="2024-08-24T00:00:00"/>
        <d v="2024-10-06T00:00:00"/>
        <d v="2024-05-20T00:00:00"/>
        <d v="2024-12-13T00:00:00"/>
        <d v="2024-10-16T00:00:00"/>
        <d v="2024-03-10T00:00:00"/>
        <d v="2024-12-14T00:00:00"/>
        <d v="2024-08-20T00:00:00"/>
        <d v="2024-03-22T00:00:00"/>
        <d v="2024-07-26T00:00:00"/>
        <d v="2024-10-28T00:00:00"/>
        <d v="2024-09-16T00:00:00"/>
        <d v="2024-10-26T00:00:00"/>
        <d v="2024-10-05T00:00:00"/>
        <d v="2024-04-15T00:00:00"/>
        <d v="2024-12-17T00:00:00"/>
        <d v="2024-02-19T00:00:00"/>
        <d v="2024-02-27T00:00:00"/>
        <d v="2024-06-14T00:00:00"/>
        <d v="2024-09-27T00:00:00"/>
        <d v="2024-01-26T00:00:00"/>
        <d v="2024-05-10T00:00:00"/>
        <d v="2024-07-13T00:00:00"/>
        <d v="2024-11-09T00:00:00"/>
        <d v="2024-02-12T00:00:00"/>
        <d v="2024-10-17T00:00:00"/>
        <d v="2024-07-18T00:00:00"/>
        <d v="2024-08-07T00:00:00"/>
        <d v="2024-08-12T00:00:00"/>
        <d v="2024-11-24T00:00:00"/>
        <d v="2024-12-24T00:00:00"/>
        <d v="2024-12-25T00:00:00"/>
        <d v="2024-02-21T00:00:00"/>
        <d v="2024-07-08T00:00:00"/>
        <d v="2024-04-20T00:00:00"/>
        <d v="2024-03-17T00:00:00"/>
        <d v="2024-07-24T00:00:00"/>
        <d v="2024-06-26T00:00:00"/>
        <d v="2024-01-29T00:00:00"/>
        <d v="2024-09-22T00:00:00"/>
        <d v="2024-02-25T00:00:00"/>
        <d v="2024-06-18T00:00:00"/>
        <d v="2024-07-23T00:00:00"/>
        <d v="2024-04-08T00:00:00"/>
        <d v="2024-08-08T00:00:00"/>
        <d v="2024-06-09T00:00:00"/>
        <d v="2024-12-10T00:00:00"/>
        <d v="2024-03-07T00:00:00"/>
        <d v="2024-05-07T00:00:00"/>
        <d v="2024-10-07T00:00:00"/>
        <d v="2024-04-03T00:00:00"/>
        <d v="2024-03-25T00:00:00"/>
        <d v="2024-07-28T00:00:00"/>
        <d v="2024-12-09T00:00:00"/>
        <d v="2024-01-27T00:00:00"/>
        <d v="2024-09-02T00:00:00"/>
        <d v="2024-11-02T00:00:00"/>
        <d v="2024-12-04T00:00:00"/>
        <d v="2024-05-15T00:00:00"/>
        <d v="2024-10-15T00:00:00"/>
        <d v="2024-08-17T00:00:00"/>
        <d v="2024-06-29T00:00:00"/>
        <d v="2024-06-20T00:00:00"/>
        <d v="2024-05-05T00:00:00"/>
        <d v="2024-05-25T00:00:00"/>
        <d v="2024-10-04T00:00:00"/>
        <d v="2024-05-08T00:00:00"/>
        <d v="2024-09-30T00:00:00"/>
        <d v="2024-05-02T00:00:00"/>
        <d v="2024-08-30T00:00:00"/>
        <d v="2024-04-01T00:00:00"/>
        <d v="2024-05-06T00:00:00"/>
        <d v="2024-05-30T00:00:00"/>
        <d v="2024-06-11T00:00:00"/>
        <d v="2024-07-21T00:00:00"/>
        <d v="2024-01-24T00:00:00"/>
        <d v="2024-12-19T00:00:00"/>
        <d v="2024-08-18T00:00:00"/>
        <d v="2024-03-20T00:00:00"/>
        <d v="2024-07-09T00:00:00"/>
        <d v="2024-02-18T00:00:00"/>
        <d v="2024-06-06T00:00:00"/>
        <d v="2024-07-14T00:00:00"/>
        <d v="2024-12-16T00:00:00"/>
        <d v="2024-04-29T00:00:00"/>
        <d v="2024-01-17T00:00:00"/>
        <d v="2024-02-04T00:00:00"/>
        <d v="2024-11-25T00:00:00"/>
        <d v="2024-08-04T00:00:00"/>
        <d v="2024-10-13T00:00:00"/>
        <d v="2024-02-29T00:00:00"/>
        <d v="2024-08-05T00:00:00"/>
        <d v="2024-10-27T00:00:00"/>
        <d v="2024-05-24T00:00:00"/>
        <d v="2024-08-25T00:00:00"/>
        <d v="2024-09-23T00:00:00"/>
        <d v="2024-10-23T00:00:00"/>
        <d v="2024-05-01T00:00:00"/>
        <d v="2024-11-14T00:00:00"/>
        <d v="2024-03-23T00:00:00"/>
      </sharedItems>
      <fieldGroup par="11"/>
    </cacheField>
    <cacheField name="Vendor_Name" numFmtId="0">
      <sharedItems count="15">
        <s v="Apex Components Pvt Ltd"/>
        <s v="Bangalore Office Supplies"/>
        <s v="Coromandel Components"/>
        <s v="Deccan Packaging Co"/>
        <s v="GlobalTech Supplies"/>
        <s v="Infra Solutions India"/>
        <s v="Krishna Auto Parts"/>
        <s v="Mehta Steel Works"/>
        <s v="Nair Logistics Co"/>
        <s v="Patel Packaging Ltd"/>
        <s v="Reddy Manufacturing"/>
        <s v="Sharma Industrials"/>
        <s v="Sri Lakshmi Traders"/>
        <s v="SunTech Electronics"/>
        <s v="Tech Vision Pvt Ltd"/>
      </sharedItems>
    </cacheField>
    <cacheField name="Category" numFmtId="0">
      <sharedItems count="6">
        <s v="Components"/>
        <s v="Office Supplies"/>
        <s v="Packaging"/>
        <s v="IT Equipment"/>
        <s v="Services"/>
        <s v="Raw Materials"/>
      </sharedItems>
    </cacheField>
    <cacheField name="Department" numFmtId="0">
      <sharedItems count="6">
        <s v="Admin"/>
        <s v="IT"/>
        <s v="Logistics"/>
        <s v="Production"/>
        <s v="Quality"/>
        <s v="R&amp;D"/>
      </sharedItems>
    </cacheField>
    <cacheField name="Quantity" numFmtId="0">
      <sharedItems containsSemiMixedTypes="0" containsString="0" containsNumber="1" containsInteger="1" minValue="9" maxValue="496" count="163">
        <n v="175"/>
        <n v="312"/>
        <n v="114"/>
        <n v="18"/>
        <n v="334"/>
        <n v="387"/>
        <n v="385"/>
        <n v="331"/>
        <n v="375"/>
        <n v="123"/>
        <n v="495"/>
        <n v="487"/>
        <n v="193"/>
        <n v="179"/>
        <n v="332"/>
        <n v="289"/>
        <n v="468"/>
        <n v="72"/>
        <n v="151"/>
        <n v="481"/>
        <n v="259"/>
        <n v="415"/>
        <n v="190"/>
        <n v="159"/>
        <n v="79"/>
        <n v="97"/>
        <n v="450"/>
        <n v="44"/>
        <n v="180"/>
        <n v="168"/>
        <n v="297"/>
        <n v="471"/>
        <n v="157"/>
        <n v="427"/>
        <n v="480"/>
        <n v="27"/>
        <n v="483"/>
        <n v="361"/>
        <n v="340"/>
        <n v="446"/>
        <n v="467"/>
        <n v="184"/>
        <n v="117"/>
        <n v="227"/>
        <n v="292"/>
        <n v="110"/>
        <n v="126"/>
        <n v="12"/>
        <n v="232"/>
        <n v="109"/>
        <n v="169"/>
        <n v="165"/>
        <n v="293"/>
        <n v="399"/>
        <n v="245"/>
        <n v="208"/>
        <n v="344"/>
        <n v="349"/>
        <n v="255"/>
        <n v="268"/>
        <n v="177"/>
        <n v="61"/>
        <n v="434"/>
        <n v="288"/>
        <n v="473"/>
        <n v="195"/>
        <n v="354"/>
        <n v="275"/>
        <n v="39"/>
        <n v="252"/>
        <n v="428"/>
        <n v="403"/>
        <n v="200"/>
        <n v="146"/>
        <n v="267"/>
        <n v="65"/>
        <n v="130"/>
        <n v="406"/>
        <n v="493"/>
        <n v="346"/>
        <n v="243"/>
        <n v="225"/>
        <n v="218"/>
        <n v="73"/>
        <n v="283"/>
        <n v="50"/>
        <n v="254"/>
        <n v="479"/>
        <n v="347"/>
        <n v="261"/>
        <n v="161"/>
        <n v="374"/>
        <n v="447"/>
        <n v="30"/>
        <n v="432"/>
        <n v="13"/>
        <n v="221"/>
        <n v="56"/>
        <n v="116"/>
        <n v="316"/>
        <n v="445"/>
        <n v="438"/>
        <n v="311"/>
        <n v="265"/>
        <n v="496"/>
        <n v="203"/>
        <n v="291"/>
        <n v="119"/>
        <n v="48"/>
        <n v="338"/>
        <n v="141"/>
        <n v="323"/>
        <n v="31"/>
        <n v="37"/>
        <n v="263"/>
        <n v="167"/>
        <n v="153"/>
        <n v="426"/>
        <n v="85"/>
        <n v="266"/>
        <n v="183"/>
        <n v="9"/>
        <n v="389"/>
        <n v="63"/>
        <n v="34"/>
        <n v="490"/>
        <n v="15"/>
        <n v="342"/>
        <n v="435"/>
        <n v="418"/>
        <n v="215"/>
        <n v="273"/>
        <n v="420"/>
        <n v="386"/>
        <n v="317"/>
        <n v="356"/>
        <n v="433"/>
        <n v="199"/>
        <n v="465"/>
        <n v="369"/>
        <n v="122"/>
        <n v="333"/>
        <n v="55"/>
        <n v="422"/>
        <n v="250"/>
        <n v="186"/>
        <n v="166"/>
        <n v="381"/>
        <n v="351"/>
        <n v="377"/>
        <n v="388"/>
        <n v="149"/>
        <n v="83"/>
        <n v="463"/>
        <n v="360"/>
        <n v="33"/>
        <n v="441"/>
        <n v="171"/>
        <n v="125"/>
        <n v="327"/>
        <n v="423"/>
        <n v="220"/>
        <n v="290"/>
      </sharedItems>
    </cacheField>
    <cacheField name="Expected_Delivery_Date" numFmtId="14">
      <sharedItems containsSemiMixedTypes="0" containsNonDate="0" containsDate="1" containsString="0" minDate="2024-01-23T00:00:00" maxDate="2025-02-12T00:00:00" count="160">
        <d v="2024-11-11T00:00:00"/>
        <d v="2025-01-12T00:00:00"/>
        <d v="2024-12-26T00:00:00"/>
        <d v="2024-11-28T00:00:00"/>
        <d v="2024-10-03T00:00:00"/>
        <d v="2024-05-21T00:00:00"/>
        <d v="2024-06-14T00:00:00"/>
        <d v="2024-12-07T00:00:00"/>
        <d v="2024-03-27T00:00:00"/>
        <d v="2024-03-28T00:00:00"/>
        <d v="2024-04-14T00:00:00"/>
        <d v="2024-04-12T00:00:00"/>
        <d v="2024-04-26T00:00:00"/>
        <d v="2024-03-20T00:00:00"/>
        <d v="2024-09-16T00:00:00"/>
        <d v="2024-02-20T00:00:00"/>
        <d v="2024-02-08T00:00:00"/>
        <d v="2025-01-11T00:00:00"/>
        <d v="2024-07-01T00:00:00"/>
        <d v="2024-11-08T00:00:00"/>
        <d v="2024-07-24T00:00:00"/>
        <d v="2024-09-26T00:00:00"/>
        <d v="2024-08-16T00:00:00"/>
        <d v="2024-04-03T00:00:00"/>
        <d v="2024-07-31T00:00:00"/>
        <d v="2025-01-17T00:00:00"/>
        <d v="2024-12-29T00:00:00"/>
        <d v="2024-09-25T00:00:00"/>
        <d v="2024-02-28T00:00:00"/>
        <d v="2024-07-15T00:00:00"/>
        <d v="2024-09-04T00:00:00"/>
        <d v="2024-02-21T00:00:00"/>
        <d v="2024-05-23T00:00:00"/>
        <d v="2024-06-15T00:00:00"/>
        <d v="2024-08-20T00:00:00"/>
        <d v="2024-12-06T00:00:00"/>
        <d v="2024-02-10T00:00:00"/>
        <d v="2024-03-18T00:00:00"/>
        <d v="2024-03-31T00:00:00"/>
        <d v="2024-06-09T00:00:00"/>
        <d v="2024-03-02T00:00:00"/>
        <d v="2024-10-15T00:00:00"/>
        <d v="2024-06-11T00:00:00"/>
        <d v="2024-10-10T00:00:00"/>
        <d v="2024-09-05T00:00:00"/>
        <d v="2024-09-28T00:00:00"/>
        <d v="2024-11-26T00:00:00"/>
        <d v="2024-09-12T00:00:00"/>
        <d v="2024-09-22T00:00:00"/>
        <d v="2024-03-11T00:00:00"/>
        <d v="2024-08-22T00:00:00"/>
        <d v="2024-05-26T00:00:00"/>
        <d v="2024-04-30T00:00:00"/>
        <d v="2024-02-29T00:00:00"/>
        <d v="2024-04-07T00:00:00"/>
        <d v="2024-10-16T00:00:00"/>
        <d v="2024-01-23T00:00:00"/>
        <d v="2024-07-05T00:00:00"/>
        <d v="2024-12-08T00:00:00"/>
        <d v="2024-10-29T00:00:00"/>
        <d v="2024-09-07T00:00:00"/>
        <d v="2024-10-24T00:00:00"/>
        <d v="2024-11-05T00:00:00"/>
        <d v="2024-05-27T00:00:00"/>
        <d v="2024-11-01T00:00:00"/>
        <d v="2024-10-30T00:00:00"/>
        <d v="2024-04-09T00:00:00"/>
        <d v="2025-01-13T00:00:00"/>
        <d v="2024-10-04T00:00:00"/>
        <d v="2024-03-29T00:00:00"/>
        <d v="2024-10-31T00:00:00"/>
        <d v="2024-12-10T00:00:00"/>
        <d v="2024-11-04T00:00:00"/>
        <d v="2024-05-30T00:00:00"/>
        <d v="2024-12-24T00:00:00"/>
        <d v="2024-02-26T00:00:00"/>
        <d v="2024-03-05T00:00:00"/>
        <d v="2024-11-29T00:00:00"/>
        <d v="2024-06-28T00:00:00"/>
        <d v="2024-10-18T00:00:00"/>
        <d v="2024-05-17T00:00:00"/>
        <d v="2024-08-03T00:00:00"/>
        <d v="2025-02-11T00:00:00"/>
        <d v="2024-03-13T00:00:00"/>
        <d v="2024-12-01T00:00:00"/>
        <d v="2024-12-03T00:00:00"/>
        <d v="2024-08-17T00:00:00"/>
        <d v="2024-06-16T00:00:00"/>
        <d v="2024-08-14T00:00:00"/>
        <d v="2024-08-19T00:00:00"/>
        <d v="2024-12-15T00:00:00"/>
        <d v="2025-01-14T00:00:00"/>
        <d v="2025-01-15T00:00:00"/>
        <d v="2024-04-06T00:00:00"/>
        <d v="2024-07-29T00:00:00"/>
        <d v="2025-01-07T00:00:00"/>
        <d v="2024-05-20T00:00:00"/>
        <d v="2024-02-25T00:00:00"/>
        <d v="2024-05-01T00:00:00"/>
        <d v="2025-01-21T00:00:00"/>
        <d v="2024-08-10T00:00:00"/>
        <d v="2024-02-12T00:00:00"/>
        <d v="2024-10-13T00:00:00"/>
        <d v="2024-03-17T00:00:00"/>
        <d v="2024-06-25T00:00:00"/>
        <d v="2024-08-13T00:00:00"/>
        <d v="2024-06-30T00:00:00"/>
        <d v="2025-01-24T00:00:00"/>
        <d v="2024-10-11T00:00:00"/>
        <d v="2024-04-21T00:00:00"/>
        <d v="2024-11-06T00:00:00"/>
        <d v="2024-04-24T00:00:00"/>
        <d v="2024-08-18T00:00:00"/>
        <d v="2024-12-30T00:00:00"/>
        <d v="2024-03-12T00:00:00"/>
        <d v="2024-10-17T00:00:00"/>
        <d v="2024-11-09T00:00:00"/>
        <d v="2024-12-25T00:00:00"/>
        <d v="2024-07-18T00:00:00"/>
        <d v="2024-05-22T00:00:00"/>
        <d v="2024-10-22T00:00:00"/>
        <d v="2024-10-01T00:00:00"/>
        <d v="2024-07-06T00:00:00"/>
        <d v="2024-06-27T00:00:00"/>
        <d v="2024-06-04T00:00:00"/>
        <d v="2024-08-15T00:00:00"/>
        <d v="2024-06-24T00:00:00"/>
        <d v="2024-08-25T00:00:00"/>
        <d v="2024-05-15T00:00:00"/>
        <d v="2024-10-07T00:00:00"/>
        <d v="2024-05-16T00:00:00"/>
        <d v="2024-09-13T00:00:00"/>
        <d v="2024-04-22T00:00:00"/>
        <d v="2024-06-05T00:00:00"/>
        <d v="2024-06-13T00:00:00"/>
        <d v="2024-07-11T00:00:00"/>
        <d v="2024-08-11T00:00:00"/>
        <d v="2024-02-07T00:00:00"/>
        <d v="2025-01-09T00:00:00"/>
        <d v="2024-06-29T00:00:00"/>
        <d v="2025-01-08T00:00:00"/>
        <d v="2024-08-23T00:00:00"/>
        <d v="2024-08-27T00:00:00"/>
        <d v="2024-11-27T00:00:00"/>
        <d v="2024-06-20T00:00:00"/>
        <d v="2024-08-28T00:00:00"/>
        <d v="2024-05-06T00:00:00"/>
        <d v="2024-09-23T00:00:00"/>
        <d v="2024-09-03T00:00:00"/>
        <d v="2024-11-12T00:00:00"/>
        <d v="2024-02-15T00:00:00"/>
        <d v="2024-03-30T00:00:00"/>
        <d v="2024-09-19T00:00:00"/>
        <d v="2024-11-17T00:00:00"/>
        <d v="2024-06-23T00:00:00"/>
        <d v="2024-11-23T00:00:00"/>
        <d v="2024-10-09T00:00:00"/>
        <d v="2024-10-23T00:00:00"/>
        <d v="2025-01-01T00:00:00"/>
        <d v="2024-04-13T00:00:00"/>
      </sharedItems>
      <fieldGroup par="17"/>
    </cacheField>
    <cacheField name="Actual_Delivery_Date" numFmtId="0">
      <sharedItems containsNonDate="0" containsDate="1" containsString="0" containsBlank="1" minDate="2024-01-23T00:00:00" maxDate="2025-02-13T00:00:00" count="113">
        <d v="2024-11-21T00:00:00"/>
        <m/>
        <d v="2024-12-26T00:00:00"/>
        <d v="2024-11-28T00:00:00"/>
        <d v="2024-10-03T00:00:00"/>
        <d v="2024-06-14T00:00:00"/>
        <d v="2024-12-07T00:00:00"/>
        <d v="2024-03-28T00:00:00"/>
        <d v="2024-04-15T00:00:00"/>
        <d v="2024-04-12T00:00:00"/>
        <d v="2024-04-26T00:00:00"/>
        <d v="2024-03-20T00:00:00"/>
        <d v="2024-09-19T00:00:00"/>
        <d v="2024-02-29T00:00:00"/>
        <d v="2024-02-08T00:00:00"/>
        <d v="2025-01-11T00:00:00"/>
        <d v="2024-07-01T00:00:00"/>
        <d v="2024-11-08T00:00:00"/>
        <d v="2024-07-24T00:00:00"/>
        <d v="2024-04-13T00:00:00"/>
        <d v="2024-08-09T00:00:00"/>
        <d v="2025-01-17T00:00:00"/>
        <d v="2024-10-13T00:00:00"/>
        <d v="2024-03-03T00:00:00"/>
        <d v="2024-07-20T00:00:00"/>
        <d v="2024-09-20T00:00:00"/>
        <d v="2024-05-31T00:00:00"/>
        <d v="2024-08-20T00:00:00"/>
        <d v="2024-06-09T00:00:00"/>
        <d v="2024-10-15T00:00:00"/>
        <d v="2024-06-11T00:00:00"/>
        <d v="2024-07-17T00:00:00"/>
        <d v="2024-09-08T00:00:00"/>
        <d v="2024-11-26T00:00:00"/>
        <d v="2024-09-29T00:00:00"/>
        <d v="2024-03-11T00:00:00"/>
        <d v="2024-05-28T00:00:00"/>
        <d v="2024-12-01T00:00:00"/>
        <d v="2024-10-17T00:00:00"/>
        <d v="2024-01-23T00:00:00"/>
        <d v="2024-07-06T00:00:00"/>
        <d v="2024-10-29T00:00:00"/>
        <d v="2024-09-07T00:00:00"/>
        <d v="2024-11-05T00:00:00"/>
        <d v="2024-11-07T00:00:00"/>
        <d v="2024-10-30T00:00:00"/>
        <d v="2024-04-09T00:00:00"/>
        <d v="2025-02-02T00:00:00"/>
        <d v="2024-10-07T00:00:00"/>
        <d v="2024-03-29T00:00:00"/>
        <d v="2024-08-16T00:00:00"/>
        <d v="2024-11-16T00:00:00"/>
        <d v="2024-10-31T00:00:00"/>
        <d v="2024-11-04T00:00:00"/>
        <d v="2024-05-30T00:00:00"/>
        <d v="2025-01-05T00:00:00"/>
        <d v="2024-02-26T00:00:00"/>
        <d v="2024-06-30T00:00:00"/>
        <d v="2024-10-22T00:00:00"/>
        <d v="2024-03-18T00:00:00"/>
        <d v="2024-12-06T00:00:00"/>
        <d v="2025-02-12T00:00:00"/>
        <d v="2024-03-13T00:00:00"/>
        <d v="2024-12-19T00:00:00"/>
        <d v="2024-08-25T00:00:00"/>
        <d v="2024-08-14T00:00:00"/>
        <d v="2024-09-05T00:00:00"/>
        <d v="2024-12-15T00:00:00"/>
        <d v="2025-01-14T00:00:00"/>
        <d v="2024-08-01T00:00:00"/>
        <d v="2025-01-07T00:00:00"/>
        <d v="2024-05-20T00:00:00"/>
        <d v="2024-02-25T00:00:00"/>
        <d v="2025-01-26T00:00:00"/>
        <d v="2024-08-15T00:00:00"/>
        <d v="2024-02-12T00:00:00"/>
        <d v="2024-08-13T00:00:00"/>
        <d v="2024-05-23T00:00:00"/>
        <d v="2024-09-22T00:00:00"/>
        <d v="2025-01-25T00:00:00"/>
        <d v="2024-04-24T00:00:00"/>
        <d v="2024-07-31T00:00:00"/>
        <d v="2024-12-30T00:00:00"/>
        <d v="2024-03-12T00:00:00"/>
        <d v="2024-11-11T00:00:00"/>
        <d v="2024-12-31T00:00:00"/>
        <d v="2024-08-06T00:00:00"/>
        <d v="2024-05-22T00:00:00"/>
        <d v="2024-10-01T00:00:00"/>
        <d v="2024-06-07T00:00:00"/>
        <d v="2024-06-24T00:00:00"/>
        <d v="2024-05-15T00:00:00"/>
        <d v="2024-05-16T00:00:00"/>
        <d v="2024-06-29T00:00:00"/>
        <d v="2025-01-09T00:00:00"/>
        <d v="2024-04-21T00:00:00"/>
        <d v="2025-01-08T00:00:00"/>
        <d v="2024-08-22T00:00:00"/>
        <d v="2024-12-17T00:00:00"/>
        <d v="2024-06-23T00:00:00"/>
        <d v="2024-05-06T00:00:00"/>
        <d v="2024-02-28T00:00:00"/>
        <d v="2024-09-23T00:00:00"/>
        <d v="2024-09-03T00:00:00"/>
        <d v="2024-12-10T00:00:00"/>
        <d v="2024-02-17T00:00:00"/>
        <d v="2024-11-17T00:00:00"/>
        <d v="2024-08-18T00:00:00"/>
        <d v="2024-11-30T00:00:00"/>
        <d v="2024-10-09T00:00:00"/>
        <d v="2024-10-25T00:00:00"/>
        <d v="2025-01-01T00:00:00"/>
        <d v="2024-06-15T00:00:00"/>
      </sharedItems>
      <fieldGroup par="14"/>
    </cacheField>
    <cacheField name="Status" numFmtId="0">
      <sharedItems count="4">
        <s v="Delivered"/>
        <s v="In Transit"/>
        <s v="Cancelled"/>
        <s v="Pending"/>
      </sharedItems>
    </cacheField>
    <cacheField name="On_Time_Status" numFmtId="0">
      <sharedItems count="3">
        <s v="Delayed"/>
        <s v="In Transit / Pending"/>
        <s v="On Time"/>
      </sharedItems>
    </cacheField>
    <cacheField name="Calculated_Delay_Days" numFmtId="0">
      <sharedItems containsSemiMixedTypes="0" containsString="0" containsNumber="1" containsInteger="1" minValue="0" maxValue="20"/>
    </cacheField>
    <cacheField name="Days (PO_Date)" numFmtId="0" databaseField="0">
      <fieldGroup base="0">
        <rangePr groupBy="days" startDate="2024-01-09T00:00:00" endDate="2024-12-29T00:00:00"/>
        <groupItems count="368">
          <s v="&lt;09-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24"/>
        </groupItems>
      </fieldGroup>
    </cacheField>
    <cacheField name="Months (PO_Date)" numFmtId="0" databaseField="0">
      <fieldGroup base="0">
        <rangePr groupBy="months" startDate="2024-01-09T00:00:00" endDate="2024-12-29T00:00:00"/>
        <groupItems count="14">
          <s v="&lt;09-01-2024"/>
          <s v="Jan"/>
          <s v="Feb"/>
          <s v="Mar"/>
          <s v="Apr"/>
          <s v="May"/>
          <s v="Jun"/>
          <s v="Jul"/>
          <s v="Aug"/>
          <s v="Sep"/>
          <s v="Oct"/>
          <s v="Nov"/>
          <s v="Dec"/>
          <s v="&gt;29-12-2024"/>
        </groupItems>
      </fieldGroup>
    </cacheField>
    <cacheField name="Months (Actual_Delivery_Date)" numFmtId="0" databaseField="0">
      <fieldGroup base="6">
        <rangePr groupBy="months" startDate="2024-01-23T00:00:00" endDate="2025-02-13T00:00:00"/>
        <groupItems count="14">
          <s v="&lt;23-01-2024"/>
          <s v="Jan"/>
          <s v="Feb"/>
          <s v="Mar"/>
          <s v="Apr"/>
          <s v="May"/>
          <s v="Jun"/>
          <s v="Jul"/>
          <s v="Aug"/>
          <s v="Sep"/>
          <s v="Oct"/>
          <s v="Nov"/>
          <s v="Dec"/>
          <s v="&gt;13-02-2025"/>
        </groupItems>
      </fieldGroup>
    </cacheField>
    <cacheField name="Quarters (Actual_Delivery_Date)" numFmtId="0" databaseField="0">
      <fieldGroup base="6">
        <rangePr groupBy="quarters" startDate="2024-01-23T00:00:00" endDate="2025-02-13T00:00:00"/>
        <groupItems count="6">
          <s v="&lt;23-01-2024"/>
          <s v="Qtr1"/>
          <s v="Qtr2"/>
          <s v="Qtr3"/>
          <s v="Qtr4"/>
          <s v="&gt;13-02-2025"/>
        </groupItems>
      </fieldGroup>
    </cacheField>
    <cacheField name="Years (Actual_Delivery_Date)" numFmtId="0" databaseField="0">
      <fieldGroup base="6">
        <rangePr groupBy="years" startDate="2024-01-23T00:00:00" endDate="2025-02-13T00:00:00"/>
        <groupItems count="4">
          <s v="&lt;23-01-2024"/>
          <s v="2024"/>
          <s v="2025"/>
          <s v="&gt;13-02-2025"/>
        </groupItems>
      </fieldGroup>
    </cacheField>
    <cacheField name="Months (Expected_Delivery_Date)" numFmtId="0" databaseField="0">
      <fieldGroup base="5">
        <rangePr groupBy="months" startDate="2024-01-23T00:00:00" endDate="2025-02-12T00:00:00"/>
        <groupItems count="14">
          <s v="&lt;23-01-2024"/>
          <s v="Jan"/>
          <s v="Feb"/>
          <s v="Mar"/>
          <s v="Apr"/>
          <s v="May"/>
          <s v="Jun"/>
          <s v="Jul"/>
          <s v="Aug"/>
          <s v="Sep"/>
          <s v="Oct"/>
          <s v="Nov"/>
          <s v="Dec"/>
          <s v="&gt;12-02-2025"/>
        </groupItems>
      </fieldGroup>
    </cacheField>
    <cacheField name="Quarters (Expected_Delivery_Date)" numFmtId="0" databaseField="0">
      <fieldGroup base="5">
        <rangePr groupBy="quarters" startDate="2024-01-23T00:00:00" endDate="2025-02-12T00:00:00"/>
        <groupItems count="6">
          <s v="&lt;23-01-2024"/>
          <s v="Qtr1"/>
          <s v="Qtr2"/>
          <s v="Qtr3"/>
          <s v="Qtr4"/>
          <s v="&gt;12-02-2025"/>
        </groupItems>
      </fieldGroup>
    </cacheField>
    <cacheField name="Years (Expected_Delivery_Date)" numFmtId="0" databaseField="0">
      <fieldGroup base="5">
        <rangePr groupBy="years" startDate="2024-01-23T00:00:00" endDate="2025-02-12T00:00:00"/>
        <groupItems count="4">
          <s v="&lt;23-01-2024"/>
          <s v="2024"/>
          <s v="2025"/>
          <s v="&gt;12-02-2025"/>
        </groupItems>
      </fieldGroup>
    </cacheField>
  </cacheFields>
  <extLst>
    <ext xmlns:x14="http://schemas.microsoft.com/office/spreadsheetml/2009/9/main" uri="{725AE2AE-9491-48be-B2B4-4EB974FC3084}">
      <x14:pivotCacheDefinition pivotCacheId="19752349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n v="5"/>
    <n v="14453246.65"/>
    <n v="2890649.33"/>
    <n v="1045263"/>
  </r>
  <r>
    <n v="1"/>
    <n v="6359053.0999999996"/>
    <n v="6359053.0999999996"/>
    <n v="127181.061999999"/>
  </r>
  <r>
    <n v="2"/>
    <n v="6072564.3199999901"/>
    <n v="3036282.16"/>
    <n v="34592.049399999902"/>
  </r>
  <r>
    <n v="3"/>
    <n v="5972657.1500000004"/>
    <n v="1990885.72"/>
    <n v="380594.62399999902"/>
  </r>
  <r>
    <n v="3"/>
    <n v="5151535.2"/>
    <n v="1717178.4"/>
    <n v="232856.74349999899"/>
  </r>
  <r>
    <n v="3"/>
    <n v="5122771.79"/>
    <n v="1707590.6"/>
    <n v="134467.90599999999"/>
  </r>
  <r>
    <n v="2"/>
    <n v="5018273"/>
    <n v="2509136.5"/>
    <n v="250913.65"/>
  </r>
  <r>
    <n v="2"/>
    <n v="3632668.18"/>
    <n v="1816334.09"/>
    <n v="356400.90009999898"/>
  </r>
  <r>
    <n v="3"/>
    <n v="3508248.08"/>
    <n v="1169416.03"/>
    <n v="2506.7165"/>
  </r>
  <r>
    <n v="4"/>
    <n v="3276703.15"/>
    <n v="819175.79"/>
    <n v="44527.392399999997"/>
  </r>
  <r>
    <n v="3"/>
    <n v="2903100.6"/>
    <n v="967700.2"/>
    <n v="9375.4724000000006"/>
  </r>
  <r>
    <n v="3"/>
    <n v="2843401.88"/>
    <n v="947800.63"/>
    <n v="0"/>
  </r>
  <r>
    <n v="2"/>
    <n v="2555170.2799999998"/>
    <n v="1277585.1399999999"/>
    <n v="69992.795599999998"/>
  </r>
  <r>
    <n v="1"/>
    <n v="730153.44"/>
    <n v="730153.44"/>
    <n v="0"/>
  </r>
  <r>
    <n v="6"/>
    <n v="15127561.77"/>
    <n v="2521260.2999999998"/>
    <n v="380802.57740000001"/>
  </r>
  <r>
    <n v="4"/>
    <n v="11067386.439999999"/>
    <n v="2766846.61"/>
    <n v="320007.39899999998"/>
  </r>
  <r>
    <n v="4"/>
    <n v="9633136.1199999992"/>
    <n v="2408284.0299999998"/>
    <n v="32530.929"/>
  </r>
  <r>
    <n v="3"/>
    <n v="9337155.5299999993"/>
    <n v="3112385.18"/>
    <n v="102220.3324"/>
  </r>
  <r>
    <n v="5"/>
    <n v="7922665.8499999996"/>
    <n v="1584533.17"/>
    <n v="442508.1802"/>
  </r>
  <r>
    <n v="1"/>
    <n v="3407768.82"/>
    <n v="3407768.82"/>
    <n v="170388.44099999999"/>
  </r>
  <r>
    <n v="1"/>
    <n v="1429987.34"/>
    <n v="1429987.34"/>
    <n v="0"/>
  </r>
  <r>
    <n v="1"/>
    <n v="1327201.3400000001"/>
    <n v="1327201.3400000001"/>
    <n v="26544.0268"/>
  </r>
  <r>
    <n v="3"/>
    <n v="944930.11999999895"/>
    <n v="314976.71000000002"/>
    <n v="61103.544099999999"/>
  </r>
  <r>
    <n v="2"/>
    <n v="681831.5"/>
    <n v="340915.75"/>
    <n v="63911.220799999901"/>
  </r>
  <r>
    <n v="1"/>
    <n v="492701"/>
    <n v="492701"/>
    <n v="0"/>
  </r>
  <r>
    <n v="1"/>
    <n v="465008.13"/>
    <n v="465008.13"/>
    <n v="46500.8129999999"/>
  </r>
  <r>
    <n v="2"/>
    <n v="12533599.25"/>
    <n v="6266799.6200000001"/>
    <n v="412077.5526"/>
  </r>
  <r>
    <n v="4"/>
    <n v="9672543.4800000004"/>
    <n v="2418135.87"/>
    <n v="82656.393800000005"/>
  </r>
  <r>
    <n v="2"/>
    <n v="8417257.1600000001"/>
    <n v="4208628.58"/>
    <n v="141744.655"/>
  </r>
  <r>
    <n v="3"/>
    <n v="7654028.0099999998"/>
    <n v="2551342.67"/>
    <n v="159737.9791"/>
  </r>
  <r>
    <n v="3"/>
    <n v="7109235.7599999998"/>
    <n v="2369745.25"/>
    <n v="585196.53969999996"/>
  </r>
  <r>
    <n v="2"/>
    <n v="6118915.2899999898"/>
    <n v="3059457.64"/>
    <n v="159320.15399999899"/>
  </r>
  <r>
    <n v="2"/>
    <n v="5038728.45"/>
    <n v="2519364.2200000002"/>
    <n v="253264.639"/>
  </r>
  <r>
    <n v="1"/>
    <n v="4298871.79"/>
    <n v="4298871.79"/>
    <n v="85977.435800000007"/>
  </r>
  <r>
    <n v="1"/>
    <n v="3550856.33"/>
    <n v="3550856.33"/>
    <n v="0"/>
  </r>
  <r>
    <n v="1"/>
    <n v="2649568.52"/>
    <n v="2649568.52"/>
    <n v="132478.42600000001"/>
  </r>
  <r>
    <n v="1"/>
    <n v="1633949.92"/>
    <n v="1633949.92"/>
    <n v="114376.4944"/>
  </r>
  <r>
    <n v="2"/>
    <n v="819372.77"/>
    <n v="409686.38"/>
    <n v="0"/>
  </r>
  <r>
    <n v="4"/>
    <n v="10824330.76"/>
    <n v="2706082.69"/>
    <n v="0"/>
  </r>
  <r>
    <n v="5"/>
    <n v="10061509.41"/>
    <n v="2012301.88"/>
    <n v="531264.42180000001"/>
  </r>
  <r>
    <n v="5"/>
    <n v="8384633"/>
    <n v="1676926.6"/>
    <n v="500366.20390000002"/>
  </r>
  <r>
    <n v="3"/>
    <n v="6939763.0099999998"/>
    <n v="2313254.34"/>
    <n v="260269.067699999"/>
  </r>
  <r>
    <n v="3"/>
    <n v="6884580.6799999997"/>
    <n v="2294860.23"/>
    <n v="497277.54699999897"/>
  </r>
  <r>
    <n v="2"/>
    <n v="6507183.6200000001"/>
    <n v="3253591.81"/>
    <n v="214160.10140000001"/>
  </r>
  <r>
    <n v="2"/>
    <n v="4153969.36"/>
    <n v="2076984.68"/>
    <n v="412885.64720000001"/>
  </r>
  <r>
    <n v="2"/>
    <n v="3826905.1399999899"/>
    <n v="1913452.57"/>
    <n v="264269.49400000001"/>
  </r>
  <r>
    <n v="3"/>
    <n v="3268788.01"/>
    <n v="1089596"/>
    <n v="87101.671000000002"/>
  </r>
  <r>
    <n v="1"/>
    <n v="2148680.25"/>
    <n v="2148680.25"/>
    <n v="214868.02499999999"/>
  </r>
  <r>
    <n v="1"/>
    <n v="1866152.28"/>
    <n v="1866152.28"/>
    <n v="130630.6596"/>
  </r>
  <r>
    <n v="2"/>
    <n v="1767876.3599999901"/>
    <n v="883938.18"/>
    <n v="43294.258699999998"/>
  </r>
  <r>
    <n v="1"/>
    <n v="858136.76"/>
    <n v="858136.76"/>
    <n v="17162.735199999999"/>
  </r>
  <r>
    <n v="2"/>
    <n v="734827.58"/>
    <n v="367413.79"/>
    <n v="9811.7049999999999"/>
  </r>
  <r>
    <n v="1"/>
    <n v="405915.67"/>
    <n v="405915.67"/>
    <n v="28414.0969"/>
  </r>
  <r>
    <n v="7"/>
    <n v="18551870.079999998"/>
    <n v="2650267.15"/>
    <n v="347891.08909999998"/>
  </r>
  <r>
    <n v="4"/>
    <n v="12839955.039999999"/>
    <n v="3209988.76"/>
    <n v="65250.6895"/>
  </r>
  <r>
    <n v="6"/>
    <n v="7588150.1500000004"/>
    <n v="1264691.69"/>
    <n v="329704.554"/>
  </r>
  <r>
    <n v="3"/>
    <n v="4306200.3499999996"/>
    <n v="1435400.12"/>
    <n v="219493.25150000001"/>
  </r>
  <r>
    <n v="1"/>
    <n v="4079181.55"/>
    <n v="4079181.55"/>
    <n v="285542.70849999902"/>
  </r>
  <r>
    <n v="3"/>
    <n v="3285831.21999999"/>
    <n v="1095277.07"/>
    <n v="157519.9664"/>
  </r>
  <r>
    <n v="1"/>
    <n v="2522028.31"/>
    <n v="2522028.31"/>
    <n v="176541.9817"/>
  </r>
  <r>
    <n v="2"/>
    <n v="2419546.69"/>
    <n v="1209773.3500000001"/>
    <n v="178133.78049999999"/>
  </r>
  <r>
    <n v="2"/>
    <n v="2149110.1"/>
    <n v="1074555.05"/>
    <n v="91289.438599999994"/>
  </r>
  <r>
    <n v="2"/>
    <n v="2119435.42"/>
    <n v="1059717.71"/>
    <n v="200385.5974"/>
  </r>
  <r>
    <n v="4"/>
    <n v="2104090.91"/>
    <n v="526022.73"/>
    <n v="49670.131800000003"/>
  </r>
  <r>
    <n v="2"/>
    <n v="1898189.21"/>
    <n v="949094.6"/>
    <n v="94909.460500000001"/>
  </r>
  <r>
    <n v="1"/>
    <n v="613930.19999999995"/>
    <n v="613930.19999999995"/>
    <n v="0"/>
  </r>
  <r>
    <n v="4"/>
    <n v="11054401.539999999"/>
    <n v="2763600.38"/>
    <n v="919060.93539999996"/>
  </r>
  <r>
    <n v="3"/>
    <n v="9796143.6799999997"/>
    <n v="3265381.23"/>
    <n v="512210.31999999902"/>
  </r>
  <r>
    <n v="2"/>
    <n v="8446989.5899999999"/>
    <n v="4223494.8"/>
    <n v="116903.0554"/>
  </r>
  <r>
    <n v="3"/>
    <n v="6842341.8600000003"/>
    <n v="2280780.62"/>
    <n v="342117.09299999999"/>
  </r>
  <r>
    <n v="4"/>
    <n v="5992804.9100000001"/>
    <n v="1498201.23"/>
    <n v="104384.0956"/>
  </r>
  <r>
    <n v="2"/>
    <n v="5848650.9100000001"/>
    <n v="2924325.46"/>
    <n v="0"/>
  </r>
  <r>
    <n v="2"/>
    <n v="4856779.96"/>
    <n v="2428389.98"/>
    <n v="242838.99799999999"/>
  </r>
  <r>
    <n v="3"/>
    <n v="4616515.47"/>
    <n v="1538838.49"/>
    <n v="14010.3243"/>
  </r>
  <r>
    <n v="2"/>
    <n v="3738978.6"/>
    <n v="1869489.3"/>
    <n v="373897.86"/>
  </r>
  <r>
    <n v="2"/>
    <n v="3722507.74"/>
    <n v="1861253.87"/>
    <n v="225961.78649999999"/>
  </r>
  <r>
    <n v="1"/>
    <n v="3471082.13"/>
    <n v="3471082.13"/>
    <n v="69421.642599999905"/>
  </r>
  <r>
    <n v="1"/>
    <n v="1069478.6299999999"/>
    <n v="1069478.6299999999"/>
    <n v="53473.931499999897"/>
  </r>
  <r>
    <n v="1"/>
    <n v="544468.81000000006"/>
    <n v="544468.81000000006"/>
    <n v="10889.376200000001"/>
  </r>
  <r>
    <n v="2"/>
    <n v="534021.41"/>
    <n v="267010.7"/>
    <n v="29650.28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x v="0"/>
    <s v="Raw Materials"/>
    <s v="Sri Lakshmi Traders"/>
    <n v="5"/>
    <n v="14453246.65"/>
    <n v="2890649.33"/>
    <n v="1045263"/>
  </r>
  <r>
    <x v="0"/>
    <s v="Components"/>
    <s v="Coromandel Components"/>
    <n v="1"/>
    <n v="6359053.0999999996"/>
    <n v="6359053.0999999996"/>
    <n v="127181.061999999"/>
  </r>
  <r>
    <x v="0"/>
    <s v="IT Equipment"/>
    <s v="SunTech Electronics"/>
    <n v="2"/>
    <n v="6072564.3199999901"/>
    <n v="3036282.16"/>
    <n v="34592.049399999902"/>
  </r>
  <r>
    <x v="0"/>
    <s v="Raw Materials"/>
    <s v="Sharma Industrials"/>
    <n v="3"/>
    <n v="5972657.1500000004"/>
    <n v="1990885.72"/>
    <n v="380594.62399999902"/>
  </r>
  <r>
    <x v="0"/>
    <s v="IT Equipment"/>
    <s v="Tech Vision Pvt Ltd"/>
    <n v="3"/>
    <n v="5151535.2"/>
    <n v="1717178.4"/>
    <n v="232856.74349999899"/>
  </r>
  <r>
    <x v="0"/>
    <s v="Packaging"/>
    <s v="Patel Packaging Ltd"/>
    <n v="3"/>
    <n v="5122771.79"/>
    <n v="1707590.6"/>
    <n v="134467.90599999999"/>
  </r>
  <r>
    <x v="0"/>
    <s v="Components"/>
    <s v="Krishna Auto Parts"/>
    <n v="2"/>
    <n v="5018273"/>
    <n v="2509136.5"/>
    <n v="250913.65"/>
  </r>
  <r>
    <x v="0"/>
    <s v="Components"/>
    <s v="Apex Components Pvt Ltd"/>
    <n v="2"/>
    <n v="3632668.18"/>
    <n v="1816334.09"/>
    <n v="356400.90009999898"/>
  </r>
  <r>
    <x v="0"/>
    <s v="Packaging"/>
    <s v="Nair Logistics Co"/>
    <n v="3"/>
    <n v="3508248.08"/>
    <n v="1169416.03"/>
    <n v="2506.7165"/>
  </r>
  <r>
    <x v="0"/>
    <s v="Raw Materials"/>
    <s v="Reddy Manufacturing"/>
    <n v="4"/>
    <n v="3276703.15"/>
    <n v="819175.79"/>
    <n v="44527.392399999997"/>
  </r>
  <r>
    <x v="0"/>
    <s v="Services"/>
    <s v="Infra Solutions India"/>
    <n v="3"/>
    <n v="2903100.6"/>
    <n v="967700.2"/>
    <n v="9375.4724000000006"/>
  </r>
  <r>
    <x v="0"/>
    <s v="Raw Materials"/>
    <s v="Mehta Steel Works"/>
    <n v="3"/>
    <n v="2843401.88"/>
    <n v="947800.63"/>
    <n v="0"/>
  </r>
  <r>
    <x v="0"/>
    <s v="Packaging"/>
    <s v="Deccan Packaging Co"/>
    <n v="2"/>
    <n v="2555170.2799999998"/>
    <n v="1277585.1399999999"/>
    <n v="69992.795599999998"/>
  </r>
  <r>
    <x v="0"/>
    <s v="Office Supplies"/>
    <s v="Bangalore Office Supplies"/>
    <n v="1"/>
    <n v="730153.44"/>
    <n v="730153.44"/>
    <n v="0"/>
  </r>
  <r>
    <x v="1"/>
    <s v="Packaging"/>
    <s v="Nair Logistics Co"/>
    <n v="6"/>
    <n v="15127561.77"/>
    <n v="2521260.2999999998"/>
    <n v="380802.57740000001"/>
  </r>
  <r>
    <x v="1"/>
    <s v="IT Equipment"/>
    <s v="Tech Vision Pvt Ltd"/>
    <n v="4"/>
    <n v="11067386.439999999"/>
    <n v="2766846.61"/>
    <n v="320007.39899999998"/>
  </r>
  <r>
    <x v="1"/>
    <s v="Components"/>
    <s v="Coromandel Components"/>
    <n v="4"/>
    <n v="9633136.1199999992"/>
    <n v="2408284.0299999998"/>
    <n v="32530.929"/>
  </r>
  <r>
    <x v="1"/>
    <s v="Packaging"/>
    <s v="Patel Packaging Ltd"/>
    <n v="3"/>
    <n v="9337155.5299999993"/>
    <n v="3112385.18"/>
    <n v="102220.3324"/>
  </r>
  <r>
    <x v="1"/>
    <s v="IT Equipment"/>
    <s v="SunTech Electronics"/>
    <n v="5"/>
    <n v="7922665.8499999996"/>
    <n v="1584533.17"/>
    <n v="442508.1802"/>
  </r>
  <r>
    <x v="1"/>
    <s v="Components"/>
    <s v="Krishna Auto Parts"/>
    <n v="1"/>
    <n v="3407768.82"/>
    <n v="3407768.82"/>
    <n v="170388.44099999999"/>
  </r>
  <r>
    <x v="1"/>
    <s v="Raw Materials"/>
    <s v="Reddy Manufacturing"/>
    <n v="1"/>
    <n v="1429987.34"/>
    <n v="1429987.34"/>
    <n v="0"/>
  </r>
  <r>
    <x v="1"/>
    <s v="IT Equipment"/>
    <s v="GlobalTech Supplies"/>
    <n v="1"/>
    <n v="1327201.3400000001"/>
    <n v="1327201.3400000001"/>
    <n v="26544.0268"/>
  </r>
  <r>
    <x v="1"/>
    <s v="Office Supplies"/>
    <s v="Bangalore Office Supplies"/>
    <n v="3"/>
    <n v="944930.11999999895"/>
    <n v="314976.71000000002"/>
    <n v="61103.544099999999"/>
  </r>
  <r>
    <x v="1"/>
    <s v="Components"/>
    <s v="Apex Components Pvt Ltd"/>
    <n v="2"/>
    <n v="681831.5"/>
    <n v="340915.75"/>
    <n v="63911.220799999901"/>
  </r>
  <r>
    <x v="1"/>
    <s v="Raw Materials"/>
    <s v="Mehta Steel Works"/>
    <n v="1"/>
    <n v="492701"/>
    <n v="492701"/>
    <n v="0"/>
  </r>
  <r>
    <x v="1"/>
    <s v="Raw Materials"/>
    <s v="Sri Lakshmi Traders"/>
    <n v="1"/>
    <n v="465008.13"/>
    <n v="465008.13"/>
    <n v="46500.8129999999"/>
  </r>
  <r>
    <x v="2"/>
    <s v="IT Equipment"/>
    <s v="SunTech Electronics"/>
    <n v="2"/>
    <n v="12533599.25"/>
    <n v="6266799.6200000001"/>
    <n v="412077.5526"/>
  </r>
  <r>
    <x v="2"/>
    <s v="Components"/>
    <s v="Apex Components Pvt Ltd"/>
    <n v="4"/>
    <n v="9672543.4800000004"/>
    <n v="2418135.87"/>
    <n v="82656.393800000005"/>
  </r>
  <r>
    <x v="2"/>
    <s v="Services"/>
    <s v="Infra Solutions India"/>
    <n v="2"/>
    <n v="8417257.1600000001"/>
    <n v="4208628.58"/>
    <n v="141744.655"/>
  </r>
  <r>
    <x v="2"/>
    <s v="Raw Materials"/>
    <s v="Sharma Industrials"/>
    <n v="3"/>
    <n v="7654028.0099999998"/>
    <n v="2551342.67"/>
    <n v="159737.9791"/>
  </r>
  <r>
    <x v="2"/>
    <s v="Raw Materials"/>
    <s v="Reddy Manufacturing"/>
    <n v="3"/>
    <n v="7109235.7599999998"/>
    <n v="2369745.25"/>
    <n v="585196.53969999996"/>
  </r>
  <r>
    <x v="2"/>
    <s v="Components"/>
    <s v="Coromandel Components"/>
    <n v="2"/>
    <n v="6118915.2899999898"/>
    <n v="3059457.64"/>
    <n v="159320.15399999899"/>
  </r>
  <r>
    <x v="2"/>
    <s v="IT Equipment"/>
    <s v="GlobalTech Supplies"/>
    <n v="2"/>
    <n v="5038728.45"/>
    <n v="2519364.2200000002"/>
    <n v="253264.639"/>
  </r>
  <r>
    <x v="2"/>
    <s v="Packaging"/>
    <s v="Deccan Packaging Co"/>
    <n v="1"/>
    <n v="4298871.79"/>
    <n v="4298871.79"/>
    <n v="85977.435800000007"/>
  </r>
  <r>
    <x v="2"/>
    <s v="Raw Materials"/>
    <s v="Sri Lakshmi Traders"/>
    <n v="1"/>
    <n v="3550856.33"/>
    <n v="3550856.33"/>
    <n v="0"/>
  </r>
  <r>
    <x v="2"/>
    <s v="Components"/>
    <s v="Krishna Auto Parts"/>
    <n v="1"/>
    <n v="2649568.52"/>
    <n v="2649568.52"/>
    <n v="132478.42600000001"/>
  </r>
  <r>
    <x v="2"/>
    <s v="IT Equipment"/>
    <s v="Tech Vision Pvt Ltd"/>
    <n v="1"/>
    <n v="1633949.92"/>
    <n v="1633949.92"/>
    <n v="114376.4944"/>
  </r>
  <r>
    <x v="2"/>
    <s v="Packaging"/>
    <s v="Nair Logistics Co"/>
    <n v="2"/>
    <n v="819372.77"/>
    <n v="409686.38"/>
    <n v="0"/>
  </r>
  <r>
    <x v="3"/>
    <s v="Packaging"/>
    <s v="Deccan Packaging Co"/>
    <n v="4"/>
    <n v="10824330.76"/>
    <n v="2706082.69"/>
    <n v="0"/>
  </r>
  <r>
    <x v="3"/>
    <s v="Packaging"/>
    <s v="Patel Packaging Ltd"/>
    <n v="5"/>
    <n v="10061509.41"/>
    <n v="2012301.88"/>
    <n v="531264.42180000001"/>
  </r>
  <r>
    <x v="3"/>
    <s v="Office Supplies"/>
    <s v="Bangalore Office Supplies"/>
    <n v="5"/>
    <n v="8384633"/>
    <n v="1676926.6"/>
    <n v="500366.20390000002"/>
  </r>
  <r>
    <x v="3"/>
    <s v="Components"/>
    <s v="Apex Components Pvt Ltd"/>
    <n v="3"/>
    <n v="6939763.0099999998"/>
    <n v="2313254.34"/>
    <n v="260269.067699999"/>
  </r>
  <r>
    <x v="3"/>
    <s v="IT Equipment"/>
    <s v="GlobalTech Supplies"/>
    <n v="3"/>
    <n v="6884580.6799999997"/>
    <n v="2294860.23"/>
    <n v="497277.54699999897"/>
  </r>
  <r>
    <x v="3"/>
    <s v="Components"/>
    <s v="Krishna Auto Parts"/>
    <n v="2"/>
    <n v="6507183.6200000001"/>
    <n v="3253591.81"/>
    <n v="214160.10140000001"/>
  </r>
  <r>
    <x v="3"/>
    <s v="Raw Materials"/>
    <s v="Reddy Manufacturing"/>
    <n v="2"/>
    <n v="4153969.36"/>
    <n v="2076984.68"/>
    <n v="412885.64720000001"/>
  </r>
  <r>
    <x v="3"/>
    <s v="Packaging"/>
    <s v="Nair Logistics Co"/>
    <n v="2"/>
    <n v="3826905.1399999899"/>
    <n v="1913452.57"/>
    <n v="264269.49400000001"/>
  </r>
  <r>
    <x v="3"/>
    <s v="Components"/>
    <s v="Coromandel Components"/>
    <n v="3"/>
    <n v="3268788.01"/>
    <n v="1089596"/>
    <n v="87101.671000000002"/>
  </r>
  <r>
    <x v="3"/>
    <s v="Raw Materials"/>
    <s v="Sri Lakshmi Traders"/>
    <n v="1"/>
    <n v="2148680.25"/>
    <n v="2148680.25"/>
    <n v="214868.02499999999"/>
  </r>
  <r>
    <x v="3"/>
    <s v="Raw Materials"/>
    <s v="Sharma Industrials"/>
    <n v="1"/>
    <n v="1866152.28"/>
    <n v="1866152.28"/>
    <n v="130630.6596"/>
  </r>
  <r>
    <x v="3"/>
    <s v="IT Equipment"/>
    <s v="Tech Vision Pvt Ltd"/>
    <n v="2"/>
    <n v="1767876.3599999901"/>
    <n v="883938.18"/>
    <n v="43294.258699999998"/>
  </r>
  <r>
    <x v="3"/>
    <s v="Raw Materials"/>
    <s v="Mehta Steel Works"/>
    <n v="1"/>
    <n v="858136.76"/>
    <n v="858136.76"/>
    <n v="17162.735199999999"/>
  </r>
  <r>
    <x v="3"/>
    <s v="IT Equipment"/>
    <s v="SunTech Electronics"/>
    <n v="2"/>
    <n v="734827.58"/>
    <n v="367413.79"/>
    <n v="9811.7049999999999"/>
  </r>
  <r>
    <x v="3"/>
    <s v="Services"/>
    <s v="Infra Solutions India"/>
    <n v="1"/>
    <n v="405915.67"/>
    <n v="405915.67"/>
    <n v="28414.0969"/>
  </r>
  <r>
    <x v="4"/>
    <s v="Raw Materials"/>
    <s v="Mehta Steel Works"/>
    <n v="7"/>
    <n v="18551870.079999998"/>
    <n v="2650267.15"/>
    <n v="347891.08909999998"/>
  </r>
  <r>
    <x v="4"/>
    <s v="Components"/>
    <s v="Apex Components Pvt Ltd"/>
    <n v="4"/>
    <n v="12839955.039999999"/>
    <n v="3209988.76"/>
    <n v="65250.6895"/>
  </r>
  <r>
    <x v="4"/>
    <s v="Office Supplies"/>
    <s v="Bangalore Office Supplies"/>
    <n v="6"/>
    <n v="7588150.1500000004"/>
    <n v="1264691.69"/>
    <n v="329704.554"/>
  </r>
  <r>
    <x v="4"/>
    <s v="Raw Materials"/>
    <s v="Reddy Manufacturing"/>
    <n v="3"/>
    <n v="4306200.3499999996"/>
    <n v="1435400.12"/>
    <n v="219493.25150000001"/>
  </r>
  <r>
    <x v="4"/>
    <s v="Packaging"/>
    <s v="Deccan Packaging Co"/>
    <n v="1"/>
    <n v="4079181.55"/>
    <n v="4079181.55"/>
    <n v="285542.70849999902"/>
  </r>
  <r>
    <x v="4"/>
    <s v="IT Equipment"/>
    <s v="GlobalTech Supplies"/>
    <n v="3"/>
    <n v="3285831.21999999"/>
    <n v="1095277.07"/>
    <n v="157519.9664"/>
  </r>
  <r>
    <x v="4"/>
    <s v="IT Equipment"/>
    <s v="SunTech Electronics"/>
    <n v="1"/>
    <n v="2522028.31"/>
    <n v="2522028.31"/>
    <n v="176541.9817"/>
  </r>
  <r>
    <x v="4"/>
    <s v="Raw Materials"/>
    <s v="Sharma Industrials"/>
    <n v="2"/>
    <n v="2419546.69"/>
    <n v="1209773.3500000001"/>
    <n v="178133.78049999999"/>
  </r>
  <r>
    <x v="4"/>
    <s v="Services"/>
    <s v="Infra Solutions India"/>
    <n v="2"/>
    <n v="2149110.1"/>
    <n v="1074555.05"/>
    <n v="91289.438599999994"/>
  </r>
  <r>
    <x v="4"/>
    <s v="Components"/>
    <s v="Krishna Auto Parts"/>
    <n v="2"/>
    <n v="2119435.42"/>
    <n v="1059717.71"/>
    <n v="200385.5974"/>
  </r>
  <r>
    <x v="4"/>
    <s v="Components"/>
    <s v="Coromandel Components"/>
    <n v="4"/>
    <n v="2104090.91"/>
    <n v="526022.73"/>
    <n v="49670.131800000003"/>
  </r>
  <r>
    <x v="4"/>
    <s v="Packaging"/>
    <s v="Patel Packaging Ltd"/>
    <n v="2"/>
    <n v="1898189.21"/>
    <n v="949094.6"/>
    <n v="94909.460500000001"/>
  </r>
  <r>
    <x v="4"/>
    <s v="Raw Materials"/>
    <s v="Sri Lakshmi Traders"/>
    <n v="1"/>
    <n v="613930.19999999995"/>
    <n v="613930.19999999995"/>
    <n v="0"/>
  </r>
  <r>
    <x v="5"/>
    <s v="Office Supplies"/>
    <s v="Bangalore Office Supplies"/>
    <n v="4"/>
    <n v="11054401.539999999"/>
    <n v="2763600.38"/>
    <n v="919060.93539999996"/>
  </r>
  <r>
    <x v="5"/>
    <s v="IT Equipment"/>
    <s v="GlobalTech Supplies"/>
    <n v="3"/>
    <n v="9796143.6799999997"/>
    <n v="3265381.23"/>
    <n v="512210.31999999902"/>
  </r>
  <r>
    <x v="5"/>
    <s v="Raw Materials"/>
    <s v="Reddy Manufacturing"/>
    <n v="2"/>
    <n v="8446989.5899999999"/>
    <n v="4223494.8"/>
    <n v="116903.0554"/>
  </r>
  <r>
    <x v="5"/>
    <s v="Components"/>
    <s v="Apex Components Pvt Ltd"/>
    <n v="3"/>
    <n v="6842341.8600000003"/>
    <n v="2280780.62"/>
    <n v="342117.09299999999"/>
  </r>
  <r>
    <x v="5"/>
    <s v="Packaging"/>
    <s v="Patel Packaging Ltd"/>
    <n v="4"/>
    <n v="5992804.9100000001"/>
    <n v="1498201.23"/>
    <n v="104384.0956"/>
  </r>
  <r>
    <x v="5"/>
    <s v="Packaging"/>
    <s v="Deccan Packaging Co"/>
    <n v="2"/>
    <n v="5848650.9100000001"/>
    <n v="2924325.46"/>
    <n v="0"/>
  </r>
  <r>
    <x v="5"/>
    <s v="Raw Materials"/>
    <s v="Mehta Steel Works"/>
    <n v="2"/>
    <n v="4856779.96"/>
    <n v="2428389.98"/>
    <n v="242838.99799999999"/>
  </r>
  <r>
    <x v="5"/>
    <s v="Raw Materials"/>
    <s v="Sharma Industrials"/>
    <n v="3"/>
    <n v="4616515.47"/>
    <n v="1538838.49"/>
    <n v="14010.3243"/>
  </r>
  <r>
    <x v="5"/>
    <s v="Components"/>
    <s v="Coromandel Components"/>
    <n v="2"/>
    <n v="3738978.6"/>
    <n v="1869489.3"/>
    <n v="373897.86"/>
  </r>
  <r>
    <x v="5"/>
    <s v="Packaging"/>
    <s v="Nair Logistics Co"/>
    <n v="2"/>
    <n v="3722507.74"/>
    <n v="1861253.87"/>
    <n v="225961.78649999999"/>
  </r>
  <r>
    <x v="5"/>
    <s v="IT Equipment"/>
    <s v="SunTech Electronics"/>
    <n v="1"/>
    <n v="3471082.13"/>
    <n v="3471082.13"/>
    <n v="69421.642599999905"/>
  </r>
  <r>
    <x v="5"/>
    <s v="IT Equipment"/>
    <s v="Tech Vision Pvt Ltd"/>
    <n v="1"/>
    <n v="1069478.6299999999"/>
    <n v="1069478.6299999999"/>
    <n v="53473.931499999897"/>
  </r>
  <r>
    <x v="5"/>
    <s v="Raw Materials"/>
    <s v="Sri Lakshmi Traders"/>
    <n v="1"/>
    <n v="544468.81000000006"/>
    <n v="544468.81000000006"/>
    <n v="10889.376200000001"/>
  </r>
  <r>
    <x v="5"/>
    <s v="Services"/>
    <s v="Infra Solutions India"/>
    <n v="2"/>
    <n v="534021.41"/>
    <n v="267010.7"/>
    <n v="29650.289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x v="0"/>
    <x v="0"/>
    <x v="0"/>
    <n v="3"/>
    <n v="5972657.1500000004"/>
  </r>
  <r>
    <x v="0"/>
    <x v="0"/>
    <x v="1"/>
    <n v="3"/>
    <n v="7654028.0099999998"/>
  </r>
  <r>
    <x v="0"/>
    <x v="0"/>
    <x v="2"/>
    <n v="1"/>
    <n v="1866152.28"/>
  </r>
  <r>
    <x v="0"/>
    <x v="0"/>
    <x v="3"/>
    <n v="2"/>
    <n v="2419546.69"/>
  </r>
  <r>
    <x v="0"/>
    <x v="0"/>
    <x v="4"/>
    <n v="3"/>
    <n v="4616515.47"/>
  </r>
  <r>
    <x v="1"/>
    <x v="1"/>
    <x v="0"/>
    <n v="2"/>
    <n v="3632668.18"/>
  </r>
  <r>
    <x v="1"/>
    <x v="1"/>
    <x v="5"/>
    <n v="2"/>
    <n v="681831.5"/>
  </r>
  <r>
    <x v="1"/>
    <x v="1"/>
    <x v="1"/>
    <n v="4"/>
    <n v="9672543.4800000004"/>
  </r>
  <r>
    <x v="1"/>
    <x v="1"/>
    <x v="2"/>
    <n v="3"/>
    <n v="6939763.0099999998"/>
  </r>
  <r>
    <x v="1"/>
    <x v="1"/>
    <x v="3"/>
    <n v="4"/>
    <n v="12839955.039999999"/>
  </r>
  <r>
    <x v="1"/>
    <x v="1"/>
    <x v="4"/>
    <n v="3"/>
    <n v="6842341.8600000003"/>
  </r>
  <r>
    <x v="2"/>
    <x v="2"/>
    <x v="5"/>
    <n v="1"/>
    <n v="1327201.3400000001"/>
  </r>
  <r>
    <x v="2"/>
    <x v="2"/>
    <x v="1"/>
    <n v="2"/>
    <n v="5038728.45"/>
  </r>
  <r>
    <x v="2"/>
    <x v="2"/>
    <x v="2"/>
    <n v="3"/>
    <n v="6884580.6799999997"/>
  </r>
  <r>
    <x v="2"/>
    <x v="2"/>
    <x v="3"/>
    <n v="3"/>
    <n v="3285831.21999999"/>
  </r>
  <r>
    <x v="2"/>
    <x v="2"/>
    <x v="4"/>
    <n v="3"/>
    <n v="9796143.6799999997"/>
  </r>
  <r>
    <x v="3"/>
    <x v="3"/>
    <x v="0"/>
    <n v="3"/>
    <n v="3508248.08"/>
  </r>
  <r>
    <x v="3"/>
    <x v="3"/>
    <x v="5"/>
    <n v="6"/>
    <n v="15127561.77"/>
  </r>
  <r>
    <x v="3"/>
    <x v="3"/>
    <x v="1"/>
    <n v="2"/>
    <n v="819372.77"/>
  </r>
  <r>
    <x v="3"/>
    <x v="3"/>
    <x v="2"/>
    <n v="2"/>
    <n v="3826905.1399999899"/>
  </r>
  <r>
    <x v="3"/>
    <x v="3"/>
    <x v="4"/>
    <n v="2"/>
    <n v="3722507.74"/>
  </r>
  <r>
    <x v="4"/>
    <x v="0"/>
    <x v="0"/>
    <n v="3"/>
    <n v="2843401.88"/>
  </r>
  <r>
    <x v="4"/>
    <x v="0"/>
    <x v="5"/>
    <n v="1"/>
    <n v="492701"/>
  </r>
  <r>
    <x v="4"/>
    <x v="0"/>
    <x v="2"/>
    <n v="1"/>
    <n v="858136.76"/>
  </r>
  <r>
    <x v="4"/>
    <x v="0"/>
    <x v="3"/>
    <n v="7"/>
    <n v="18551870.079999998"/>
  </r>
  <r>
    <x v="4"/>
    <x v="0"/>
    <x v="4"/>
    <n v="2"/>
    <n v="4856779.96"/>
  </r>
  <r>
    <x v="5"/>
    <x v="2"/>
    <x v="0"/>
    <n v="2"/>
    <n v="6072564.3199999901"/>
  </r>
  <r>
    <x v="5"/>
    <x v="2"/>
    <x v="5"/>
    <n v="5"/>
    <n v="7922665.8499999996"/>
  </r>
  <r>
    <x v="5"/>
    <x v="2"/>
    <x v="1"/>
    <n v="2"/>
    <n v="12533599.25"/>
  </r>
  <r>
    <x v="5"/>
    <x v="2"/>
    <x v="2"/>
    <n v="2"/>
    <n v="734827.58"/>
  </r>
  <r>
    <x v="5"/>
    <x v="2"/>
    <x v="3"/>
    <n v="1"/>
    <n v="2522028.31"/>
  </r>
  <r>
    <x v="5"/>
    <x v="2"/>
    <x v="4"/>
    <n v="1"/>
    <n v="3471082.13"/>
  </r>
  <r>
    <x v="6"/>
    <x v="3"/>
    <x v="0"/>
    <n v="3"/>
    <n v="5122771.79"/>
  </r>
  <r>
    <x v="6"/>
    <x v="3"/>
    <x v="5"/>
    <n v="3"/>
    <n v="9337155.5299999993"/>
  </r>
  <r>
    <x v="6"/>
    <x v="3"/>
    <x v="2"/>
    <n v="5"/>
    <n v="10061509.41"/>
  </r>
  <r>
    <x v="6"/>
    <x v="3"/>
    <x v="3"/>
    <n v="2"/>
    <n v="1898189.21"/>
  </r>
  <r>
    <x v="6"/>
    <x v="3"/>
    <x v="4"/>
    <n v="4"/>
    <n v="5992804.9100000001"/>
  </r>
  <r>
    <x v="7"/>
    <x v="1"/>
    <x v="0"/>
    <n v="2"/>
    <n v="5018273"/>
  </r>
  <r>
    <x v="7"/>
    <x v="1"/>
    <x v="5"/>
    <n v="1"/>
    <n v="3407768.82"/>
  </r>
  <r>
    <x v="7"/>
    <x v="1"/>
    <x v="1"/>
    <n v="1"/>
    <n v="2649568.52"/>
  </r>
  <r>
    <x v="7"/>
    <x v="1"/>
    <x v="2"/>
    <n v="2"/>
    <n v="6507183.6200000001"/>
  </r>
  <r>
    <x v="7"/>
    <x v="1"/>
    <x v="3"/>
    <n v="2"/>
    <n v="2119435.42"/>
  </r>
  <r>
    <x v="8"/>
    <x v="4"/>
    <x v="0"/>
    <n v="1"/>
    <n v="730153.44"/>
  </r>
  <r>
    <x v="8"/>
    <x v="4"/>
    <x v="5"/>
    <n v="3"/>
    <n v="944930.11999999895"/>
  </r>
  <r>
    <x v="8"/>
    <x v="4"/>
    <x v="2"/>
    <n v="5"/>
    <n v="8384633"/>
  </r>
  <r>
    <x v="8"/>
    <x v="4"/>
    <x v="3"/>
    <n v="6"/>
    <n v="7588150.1500000004"/>
  </r>
  <r>
    <x v="8"/>
    <x v="4"/>
    <x v="4"/>
    <n v="4"/>
    <n v="11054401.539999999"/>
  </r>
  <r>
    <x v="9"/>
    <x v="0"/>
    <x v="0"/>
    <n v="4"/>
    <n v="3276703.15"/>
  </r>
  <r>
    <x v="9"/>
    <x v="0"/>
    <x v="5"/>
    <n v="1"/>
    <n v="1429987.34"/>
  </r>
  <r>
    <x v="9"/>
    <x v="0"/>
    <x v="1"/>
    <n v="3"/>
    <n v="7109235.7599999998"/>
  </r>
  <r>
    <x v="9"/>
    <x v="0"/>
    <x v="2"/>
    <n v="2"/>
    <n v="4153969.36"/>
  </r>
  <r>
    <x v="9"/>
    <x v="0"/>
    <x v="3"/>
    <n v="3"/>
    <n v="4306200.3499999996"/>
  </r>
  <r>
    <x v="9"/>
    <x v="0"/>
    <x v="4"/>
    <n v="2"/>
    <n v="8446989.5899999999"/>
  </r>
  <r>
    <x v="10"/>
    <x v="5"/>
    <x v="0"/>
    <n v="3"/>
    <n v="2903100.6"/>
  </r>
  <r>
    <x v="10"/>
    <x v="5"/>
    <x v="1"/>
    <n v="2"/>
    <n v="8417257.1600000001"/>
  </r>
  <r>
    <x v="10"/>
    <x v="5"/>
    <x v="2"/>
    <n v="1"/>
    <n v="405915.67"/>
  </r>
  <r>
    <x v="10"/>
    <x v="5"/>
    <x v="3"/>
    <n v="2"/>
    <n v="2149110.1"/>
  </r>
  <r>
    <x v="10"/>
    <x v="5"/>
    <x v="4"/>
    <n v="2"/>
    <n v="534021.41"/>
  </r>
  <r>
    <x v="11"/>
    <x v="1"/>
    <x v="0"/>
    <n v="1"/>
    <n v="6359053.0999999996"/>
  </r>
  <r>
    <x v="11"/>
    <x v="1"/>
    <x v="5"/>
    <n v="4"/>
    <n v="9633136.1199999992"/>
  </r>
  <r>
    <x v="11"/>
    <x v="1"/>
    <x v="1"/>
    <n v="2"/>
    <n v="6118915.2899999898"/>
  </r>
  <r>
    <x v="11"/>
    <x v="1"/>
    <x v="2"/>
    <n v="3"/>
    <n v="3268788.01"/>
  </r>
  <r>
    <x v="11"/>
    <x v="1"/>
    <x v="3"/>
    <n v="4"/>
    <n v="2104090.91"/>
  </r>
  <r>
    <x v="11"/>
    <x v="1"/>
    <x v="4"/>
    <n v="2"/>
    <n v="3738978.6"/>
  </r>
  <r>
    <x v="12"/>
    <x v="2"/>
    <x v="0"/>
    <n v="3"/>
    <n v="5151535.2"/>
  </r>
  <r>
    <x v="12"/>
    <x v="2"/>
    <x v="5"/>
    <n v="4"/>
    <n v="11067386.439999999"/>
  </r>
  <r>
    <x v="12"/>
    <x v="2"/>
    <x v="1"/>
    <n v="1"/>
    <n v="1633949.92"/>
  </r>
  <r>
    <x v="12"/>
    <x v="2"/>
    <x v="2"/>
    <n v="2"/>
    <n v="1767876.3599999901"/>
  </r>
  <r>
    <x v="12"/>
    <x v="2"/>
    <x v="4"/>
    <n v="1"/>
    <n v="1069478.6299999999"/>
  </r>
  <r>
    <x v="13"/>
    <x v="0"/>
    <x v="0"/>
    <n v="5"/>
    <n v="14453246.65"/>
  </r>
  <r>
    <x v="13"/>
    <x v="0"/>
    <x v="5"/>
    <n v="1"/>
    <n v="465008.13"/>
  </r>
  <r>
    <x v="13"/>
    <x v="0"/>
    <x v="1"/>
    <n v="1"/>
    <n v="3550856.33"/>
  </r>
  <r>
    <x v="13"/>
    <x v="0"/>
    <x v="2"/>
    <n v="1"/>
    <n v="2148680.25"/>
  </r>
  <r>
    <x v="13"/>
    <x v="0"/>
    <x v="3"/>
    <n v="1"/>
    <n v="613930.19999999995"/>
  </r>
  <r>
    <x v="13"/>
    <x v="0"/>
    <x v="4"/>
    <n v="1"/>
    <n v="544468.81000000006"/>
  </r>
  <r>
    <x v="14"/>
    <x v="3"/>
    <x v="0"/>
    <n v="2"/>
    <n v="2555170.2799999998"/>
  </r>
  <r>
    <x v="14"/>
    <x v="3"/>
    <x v="1"/>
    <n v="1"/>
    <n v="4298871.79"/>
  </r>
  <r>
    <x v="14"/>
    <x v="3"/>
    <x v="2"/>
    <n v="4"/>
    <n v="10824330.76"/>
  </r>
  <r>
    <x v="14"/>
    <x v="3"/>
    <x v="3"/>
    <n v="1"/>
    <n v="4079181.55"/>
  </r>
  <r>
    <x v="14"/>
    <x v="3"/>
    <x v="4"/>
    <n v="2"/>
    <n v="5848650.910000000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n v="18"/>
    <n v="40609103.07"/>
    <n v="1170605.3648999999"/>
    <n v="2.8826181235329607"/>
  </r>
  <r>
    <x v="1"/>
    <n v="13"/>
    <n v="33256767.439999901"/>
    <n v="1144953.1114999901"/>
    <n v="3.4427672910954255"/>
  </r>
  <r>
    <x v="2"/>
    <n v="17"/>
    <n v="32412430.850000001"/>
    <n v="967246.21629999997"/>
    <n v="2.98418289197831"/>
  </r>
  <r>
    <x v="3"/>
    <n v="16"/>
    <n v="31222962.029999901"/>
    <n v="829701.80779999995"/>
    <n v="2.6573449597856831"/>
  </r>
  <r>
    <x v="4"/>
    <n v="15"/>
    <n v="28723085.5499999"/>
    <n v="1379005.8862000001"/>
    <n v="4.8010367263624465"/>
  </r>
  <r>
    <x v="5"/>
    <n v="19"/>
    <n v="28702268.249999899"/>
    <n v="1810235.2374"/>
    <n v="6.306941394431453"/>
  </r>
  <r>
    <x v="6"/>
    <n v="10"/>
    <n v="27606205.289999899"/>
    <n v="441512.9399"/>
    <n v="1.5993249896606911"/>
  </r>
  <r>
    <x v="7"/>
    <n v="14"/>
    <n v="27602889.68"/>
    <n v="607892.8223"/>
    <n v="2.2022796502369673"/>
  </r>
  <r>
    <x v="8"/>
    <n v="15"/>
    <n v="27004595.5"/>
    <n v="873540.57440000004"/>
    <n v="3.2347848883720554"/>
  </r>
  <r>
    <x v="9"/>
    <n v="12"/>
    <n v="26332485.370000001"/>
    <n v="1446816.4992"/>
    <n v="5.494416796860067"/>
  </r>
  <r>
    <x v="10"/>
    <n v="12"/>
    <n v="22528899.599999901"/>
    <n v="863107.36750000005"/>
    <n v="3.8311119620773839"/>
  </r>
  <r>
    <x v="11"/>
    <n v="10"/>
    <n v="21776190.370000001"/>
    <n v="1317521.21419999"/>
    <n v="6.0502833223531827"/>
  </r>
  <r>
    <x v="12"/>
    <n v="11"/>
    <n v="20690226.5499999"/>
    <n v="764008.82709999999"/>
    <n v="3.692607353784648"/>
  </r>
  <r>
    <x v="13"/>
    <n v="8"/>
    <n v="19702229.379999999"/>
    <n v="968326.21580000001"/>
    <n v="4.9148053102201779"/>
  </r>
  <r>
    <x v="14"/>
    <n v="10"/>
    <n v="14409404.939999999"/>
    <n v="300473.95280000003"/>
    <n v="2.085262743681350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x v="0"/>
    <x v="0"/>
    <x v="0"/>
    <x v="0"/>
    <n v="10"/>
  </r>
  <r>
    <x v="1"/>
    <x v="0"/>
    <x v="0"/>
    <x v="0"/>
    <x v="1"/>
    <x v="1"/>
    <x v="1"/>
    <x v="1"/>
    <x v="1"/>
    <n v="0"/>
  </r>
  <r>
    <x v="2"/>
    <x v="0"/>
    <x v="0"/>
    <x v="1"/>
    <x v="2"/>
    <x v="2"/>
    <x v="2"/>
    <x v="0"/>
    <x v="2"/>
    <n v="0"/>
  </r>
  <r>
    <x v="3"/>
    <x v="0"/>
    <x v="0"/>
    <x v="1"/>
    <x v="3"/>
    <x v="3"/>
    <x v="3"/>
    <x v="0"/>
    <x v="2"/>
    <n v="0"/>
  </r>
  <r>
    <x v="4"/>
    <x v="0"/>
    <x v="0"/>
    <x v="2"/>
    <x v="4"/>
    <x v="4"/>
    <x v="4"/>
    <x v="0"/>
    <x v="2"/>
    <n v="0"/>
  </r>
  <r>
    <x v="5"/>
    <x v="0"/>
    <x v="0"/>
    <x v="2"/>
    <x v="5"/>
    <x v="5"/>
    <x v="1"/>
    <x v="2"/>
    <x v="1"/>
    <n v="0"/>
  </r>
  <r>
    <x v="5"/>
    <x v="0"/>
    <x v="0"/>
    <x v="2"/>
    <x v="6"/>
    <x v="6"/>
    <x v="5"/>
    <x v="0"/>
    <x v="2"/>
    <n v="0"/>
  </r>
  <r>
    <x v="6"/>
    <x v="0"/>
    <x v="0"/>
    <x v="2"/>
    <x v="7"/>
    <x v="7"/>
    <x v="6"/>
    <x v="0"/>
    <x v="2"/>
    <n v="0"/>
  </r>
  <r>
    <x v="7"/>
    <x v="0"/>
    <x v="0"/>
    <x v="3"/>
    <x v="8"/>
    <x v="8"/>
    <x v="1"/>
    <x v="1"/>
    <x v="1"/>
    <n v="0"/>
  </r>
  <r>
    <x v="8"/>
    <x v="0"/>
    <x v="0"/>
    <x v="3"/>
    <x v="9"/>
    <x v="9"/>
    <x v="7"/>
    <x v="0"/>
    <x v="2"/>
    <n v="0"/>
  </r>
  <r>
    <x v="9"/>
    <x v="0"/>
    <x v="0"/>
    <x v="3"/>
    <x v="10"/>
    <x v="10"/>
    <x v="8"/>
    <x v="0"/>
    <x v="0"/>
    <n v="1"/>
  </r>
  <r>
    <x v="10"/>
    <x v="0"/>
    <x v="0"/>
    <x v="4"/>
    <x v="11"/>
    <x v="11"/>
    <x v="9"/>
    <x v="0"/>
    <x v="2"/>
    <n v="0"/>
  </r>
  <r>
    <x v="11"/>
    <x v="0"/>
    <x v="0"/>
    <x v="4"/>
    <x v="12"/>
    <x v="12"/>
    <x v="10"/>
    <x v="0"/>
    <x v="2"/>
    <n v="0"/>
  </r>
  <r>
    <x v="7"/>
    <x v="0"/>
    <x v="0"/>
    <x v="4"/>
    <x v="13"/>
    <x v="13"/>
    <x v="11"/>
    <x v="0"/>
    <x v="2"/>
    <n v="0"/>
  </r>
  <r>
    <x v="12"/>
    <x v="0"/>
    <x v="0"/>
    <x v="4"/>
    <x v="14"/>
    <x v="14"/>
    <x v="12"/>
    <x v="0"/>
    <x v="0"/>
    <n v="3"/>
  </r>
  <r>
    <x v="13"/>
    <x v="0"/>
    <x v="0"/>
    <x v="5"/>
    <x v="15"/>
    <x v="15"/>
    <x v="13"/>
    <x v="0"/>
    <x v="0"/>
    <n v="9"/>
  </r>
  <r>
    <x v="14"/>
    <x v="0"/>
    <x v="0"/>
    <x v="5"/>
    <x v="16"/>
    <x v="16"/>
    <x v="14"/>
    <x v="0"/>
    <x v="2"/>
    <n v="0"/>
  </r>
  <r>
    <x v="15"/>
    <x v="0"/>
    <x v="0"/>
    <x v="5"/>
    <x v="7"/>
    <x v="17"/>
    <x v="15"/>
    <x v="0"/>
    <x v="2"/>
    <n v="0"/>
  </r>
  <r>
    <x v="16"/>
    <x v="1"/>
    <x v="1"/>
    <x v="0"/>
    <x v="17"/>
    <x v="18"/>
    <x v="16"/>
    <x v="0"/>
    <x v="2"/>
    <n v="0"/>
  </r>
  <r>
    <x v="17"/>
    <x v="1"/>
    <x v="1"/>
    <x v="1"/>
    <x v="18"/>
    <x v="19"/>
    <x v="17"/>
    <x v="0"/>
    <x v="2"/>
    <n v="0"/>
  </r>
  <r>
    <x v="18"/>
    <x v="1"/>
    <x v="1"/>
    <x v="1"/>
    <x v="19"/>
    <x v="20"/>
    <x v="18"/>
    <x v="0"/>
    <x v="2"/>
    <n v="0"/>
  </r>
  <r>
    <x v="19"/>
    <x v="1"/>
    <x v="1"/>
    <x v="1"/>
    <x v="20"/>
    <x v="21"/>
    <x v="1"/>
    <x v="1"/>
    <x v="1"/>
    <n v="0"/>
  </r>
  <r>
    <x v="20"/>
    <x v="1"/>
    <x v="1"/>
    <x v="3"/>
    <x v="21"/>
    <x v="22"/>
    <x v="1"/>
    <x v="1"/>
    <x v="1"/>
    <n v="0"/>
  </r>
  <r>
    <x v="21"/>
    <x v="1"/>
    <x v="1"/>
    <x v="3"/>
    <x v="22"/>
    <x v="23"/>
    <x v="19"/>
    <x v="0"/>
    <x v="0"/>
    <n v="10"/>
  </r>
  <r>
    <x v="22"/>
    <x v="1"/>
    <x v="1"/>
    <x v="3"/>
    <x v="23"/>
    <x v="24"/>
    <x v="20"/>
    <x v="0"/>
    <x v="0"/>
    <n v="9"/>
  </r>
  <r>
    <x v="23"/>
    <x v="1"/>
    <x v="1"/>
    <x v="3"/>
    <x v="24"/>
    <x v="25"/>
    <x v="21"/>
    <x v="0"/>
    <x v="2"/>
    <n v="0"/>
  </r>
  <r>
    <x v="24"/>
    <x v="1"/>
    <x v="1"/>
    <x v="3"/>
    <x v="25"/>
    <x v="26"/>
    <x v="1"/>
    <x v="2"/>
    <x v="1"/>
    <n v="0"/>
  </r>
  <r>
    <x v="25"/>
    <x v="1"/>
    <x v="1"/>
    <x v="4"/>
    <x v="26"/>
    <x v="27"/>
    <x v="22"/>
    <x v="0"/>
    <x v="0"/>
    <n v="18"/>
  </r>
  <r>
    <x v="26"/>
    <x v="1"/>
    <x v="1"/>
    <x v="4"/>
    <x v="27"/>
    <x v="28"/>
    <x v="23"/>
    <x v="0"/>
    <x v="0"/>
    <n v="4"/>
  </r>
  <r>
    <x v="27"/>
    <x v="1"/>
    <x v="1"/>
    <x v="4"/>
    <x v="28"/>
    <x v="29"/>
    <x v="24"/>
    <x v="0"/>
    <x v="0"/>
    <n v="5"/>
  </r>
  <r>
    <x v="28"/>
    <x v="1"/>
    <x v="1"/>
    <x v="4"/>
    <x v="29"/>
    <x v="30"/>
    <x v="25"/>
    <x v="0"/>
    <x v="0"/>
    <n v="16"/>
  </r>
  <r>
    <x v="29"/>
    <x v="1"/>
    <x v="1"/>
    <x v="4"/>
    <x v="30"/>
    <x v="31"/>
    <x v="1"/>
    <x v="2"/>
    <x v="1"/>
    <n v="0"/>
  </r>
  <r>
    <x v="30"/>
    <x v="1"/>
    <x v="1"/>
    <x v="4"/>
    <x v="31"/>
    <x v="32"/>
    <x v="26"/>
    <x v="0"/>
    <x v="0"/>
    <n v="8"/>
  </r>
  <r>
    <x v="31"/>
    <x v="1"/>
    <x v="1"/>
    <x v="5"/>
    <x v="32"/>
    <x v="33"/>
    <x v="1"/>
    <x v="2"/>
    <x v="1"/>
    <n v="0"/>
  </r>
  <r>
    <x v="32"/>
    <x v="1"/>
    <x v="1"/>
    <x v="5"/>
    <x v="33"/>
    <x v="34"/>
    <x v="27"/>
    <x v="0"/>
    <x v="2"/>
    <n v="0"/>
  </r>
  <r>
    <x v="33"/>
    <x v="1"/>
    <x v="1"/>
    <x v="5"/>
    <x v="34"/>
    <x v="35"/>
    <x v="1"/>
    <x v="2"/>
    <x v="1"/>
    <n v="0"/>
  </r>
  <r>
    <x v="34"/>
    <x v="1"/>
    <x v="1"/>
    <x v="5"/>
    <x v="35"/>
    <x v="36"/>
    <x v="1"/>
    <x v="1"/>
    <x v="1"/>
    <n v="0"/>
  </r>
  <r>
    <x v="35"/>
    <x v="2"/>
    <x v="0"/>
    <x v="0"/>
    <x v="36"/>
    <x v="37"/>
    <x v="1"/>
    <x v="2"/>
    <x v="1"/>
    <n v="0"/>
  </r>
  <r>
    <x v="36"/>
    <x v="2"/>
    <x v="0"/>
    <x v="1"/>
    <x v="37"/>
    <x v="38"/>
    <x v="1"/>
    <x v="2"/>
    <x v="1"/>
    <n v="0"/>
  </r>
  <r>
    <x v="37"/>
    <x v="2"/>
    <x v="0"/>
    <x v="1"/>
    <x v="24"/>
    <x v="39"/>
    <x v="28"/>
    <x v="0"/>
    <x v="2"/>
    <n v="0"/>
  </r>
  <r>
    <x v="38"/>
    <x v="2"/>
    <x v="0"/>
    <x v="1"/>
    <x v="38"/>
    <x v="40"/>
    <x v="1"/>
    <x v="2"/>
    <x v="1"/>
    <n v="0"/>
  </r>
  <r>
    <x v="39"/>
    <x v="2"/>
    <x v="0"/>
    <x v="1"/>
    <x v="33"/>
    <x v="41"/>
    <x v="29"/>
    <x v="0"/>
    <x v="2"/>
    <n v="0"/>
  </r>
  <r>
    <x v="40"/>
    <x v="2"/>
    <x v="0"/>
    <x v="2"/>
    <x v="39"/>
    <x v="42"/>
    <x v="30"/>
    <x v="0"/>
    <x v="2"/>
    <n v="0"/>
  </r>
  <r>
    <x v="41"/>
    <x v="2"/>
    <x v="0"/>
    <x v="2"/>
    <x v="40"/>
    <x v="29"/>
    <x v="31"/>
    <x v="0"/>
    <x v="0"/>
    <n v="2"/>
  </r>
  <r>
    <x v="42"/>
    <x v="2"/>
    <x v="0"/>
    <x v="3"/>
    <x v="41"/>
    <x v="43"/>
    <x v="1"/>
    <x v="2"/>
    <x v="1"/>
    <n v="0"/>
  </r>
  <r>
    <x v="43"/>
    <x v="2"/>
    <x v="0"/>
    <x v="3"/>
    <x v="42"/>
    <x v="3"/>
    <x v="3"/>
    <x v="0"/>
    <x v="2"/>
    <n v="0"/>
  </r>
  <r>
    <x v="44"/>
    <x v="2"/>
    <x v="0"/>
    <x v="3"/>
    <x v="43"/>
    <x v="44"/>
    <x v="32"/>
    <x v="0"/>
    <x v="0"/>
    <n v="3"/>
  </r>
  <r>
    <x v="45"/>
    <x v="2"/>
    <x v="0"/>
    <x v="4"/>
    <x v="44"/>
    <x v="45"/>
    <x v="1"/>
    <x v="3"/>
    <x v="1"/>
    <n v="0"/>
  </r>
  <r>
    <x v="46"/>
    <x v="2"/>
    <x v="0"/>
    <x v="4"/>
    <x v="45"/>
    <x v="12"/>
    <x v="10"/>
    <x v="0"/>
    <x v="2"/>
    <n v="0"/>
  </r>
  <r>
    <x v="47"/>
    <x v="2"/>
    <x v="0"/>
    <x v="4"/>
    <x v="46"/>
    <x v="46"/>
    <x v="33"/>
    <x v="0"/>
    <x v="2"/>
    <n v="0"/>
  </r>
  <r>
    <x v="48"/>
    <x v="2"/>
    <x v="0"/>
    <x v="4"/>
    <x v="47"/>
    <x v="47"/>
    <x v="1"/>
    <x v="3"/>
    <x v="1"/>
    <n v="0"/>
  </r>
  <r>
    <x v="49"/>
    <x v="2"/>
    <x v="0"/>
    <x v="5"/>
    <x v="48"/>
    <x v="48"/>
    <x v="34"/>
    <x v="0"/>
    <x v="0"/>
    <n v="7"/>
  </r>
  <r>
    <x v="50"/>
    <x v="2"/>
    <x v="0"/>
    <x v="5"/>
    <x v="49"/>
    <x v="49"/>
    <x v="35"/>
    <x v="0"/>
    <x v="2"/>
    <n v="0"/>
  </r>
  <r>
    <x v="44"/>
    <x v="3"/>
    <x v="2"/>
    <x v="0"/>
    <x v="50"/>
    <x v="50"/>
    <x v="1"/>
    <x v="1"/>
    <x v="1"/>
    <n v="0"/>
  </r>
  <r>
    <x v="51"/>
    <x v="3"/>
    <x v="2"/>
    <x v="0"/>
    <x v="51"/>
    <x v="51"/>
    <x v="36"/>
    <x v="0"/>
    <x v="0"/>
    <n v="2"/>
  </r>
  <r>
    <x v="52"/>
    <x v="3"/>
    <x v="2"/>
    <x v="2"/>
    <x v="30"/>
    <x v="52"/>
    <x v="1"/>
    <x v="3"/>
    <x v="1"/>
    <n v="0"/>
  </r>
  <r>
    <x v="53"/>
    <x v="3"/>
    <x v="2"/>
    <x v="3"/>
    <x v="52"/>
    <x v="53"/>
    <x v="1"/>
    <x v="1"/>
    <x v="1"/>
    <n v="0"/>
  </r>
  <r>
    <x v="54"/>
    <x v="3"/>
    <x v="2"/>
    <x v="3"/>
    <x v="53"/>
    <x v="46"/>
    <x v="37"/>
    <x v="0"/>
    <x v="0"/>
    <n v="5"/>
  </r>
  <r>
    <x v="55"/>
    <x v="3"/>
    <x v="2"/>
    <x v="3"/>
    <x v="54"/>
    <x v="47"/>
    <x v="1"/>
    <x v="3"/>
    <x v="1"/>
    <n v="0"/>
  </r>
  <r>
    <x v="56"/>
    <x v="3"/>
    <x v="2"/>
    <x v="3"/>
    <x v="55"/>
    <x v="54"/>
    <x v="1"/>
    <x v="2"/>
    <x v="1"/>
    <n v="0"/>
  </r>
  <r>
    <x v="57"/>
    <x v="3"/>
    <x v="2"/>
    <x v="4"/>
    <x v="56"/>
    <x v="55"/>
    <x v="38"/>
    <x v="0"/>
    <x v="0"/>
    <n v="1"/>
  </r>
  <r>
    <x v="58"/>
    <x v="3"/>
    <x v="2"/>
    <x v="5"/>
    <x v="57"/>
    <x v="56"/>
    <x v="39"/>
    <x v="0"/>
    <x v="2"/>
    <n v="0"/>
  </r>
  <r>
    <x v="59"/>
    <x v="3"/>
    <x v="2"/>
    <x v="5"/>
    <x v="58"/>
    <x v="57"/>
    <x v="40"/>
    <x v="0"/>
    <x v="0"/>
    <n v="1"/>
  </r>
  <r>
    <x v="60"/>
    <x v="4"/>
    <x v="3"/>
    <x v="1"/>
    <x v="59"/>
    <x v="58"/>
    <x v="1"/>
    <x v="1"/>
    <x v="1"/>
    <n v="0"/>
  </r>
  <r>
    <x v="61"/>
    <x v="4"/>
    <x v="3"/>
    <x v="2"/>
    <x v="31"/>
    <x v="59"/>
    <x v="41"/>
    <x v="0"/>
    <x v="2"/>
    <n v="0"/>
  </r>
  <r>
    <x v="62"/>
    <x v="4"/>
    <x v="3"/>
    <x v="2"/>
    <x v="60"/>
    <x v="60"/>
    <x v="42"/>
    <x v="0"/>
    <x v="2"/>
    <n v="0"/>
  </r>
  <r>
    <x v="42"/>
    <x v="4"/>
    <x v="3"/>
    <x v="3"/>
    <x v="61"/>
    <x v="61"/>
    <x v="1"/>
    <x v="3"/>
    <x v="1"/>
    <n v="0"/>
  </r>
  <r>
    <x v="63"/>
    <x v="4"/>
    <x v="3"/>
    <x v="3"/>
    <x v="62"/>
    <x v="62"/>
    <x v="43"/>
    <x v="0"/>
    <x v="2"/>
    <n v="0"/>
  </r>
  <r>
    <x v="64"/>
    <x v="4"/>
    <x v="3"/>
    <x v="3"/>
    <x v="63"/>
    <x v="63"/>
    <x v="1"/>
    <x v="2"/>
    <x v="1"/>
    <n v="0"/>
  </r>
  <r>
    <x v="57"/>
    <x v="4"/>
    <x v="3"/>
    <x v="4"/>
    <x v="64"/>
    <x v="64"/>
    <x v="44"/>
    <x v="0"/>
    <x v="0"/>
    <n v="6"/>
  </r>
  <r>
    <x v="65"/>
    <x v="4"/>
    <x v="3"/>
    <x v="4"/>
    <x v="65"/>
    <x v="1"/>
    <x v="1"/>
    <x v="2"/>
    <x v="1"/>
    <n v="0"/>
  </r>
  <r>
    <x v="66"/>
    <x v="4"/>
    <x v="3"/>
    <x v="4"/>
    <x v="26"/>
    <x v="65"/>
    <x v="45"/>
    <x v="0"/>
    <x v="2"/>
    <n v="0"/>
  </r>
  <r>
    <x v="67"/>
    <x v="4"/>
    <x v="3"/>
    <x v="5"/>
    <x v="66"/>
    <x v="66"/>
    <x v="46"/>
    <x v="0"/>
    <x v="2"/>
    <n v="0"/>
  </r>
  <r>
    <x v="68"/>
    <x v="4"/>
    <x v="3"/>
    <x v="5"/>
    <x v="67"/>
    <x v="67"/>
    <x v="47"/>
    <x v="0"/>
    <x v="0"/>
    <n v="20"/>
  </r>
  <r>
    <x v="69"/>
    <x v="4"/>
    <x v="3"/>
    <x v="5"/>
    <x v="21"/>
    <x v="68"/>
    <x v="48"/>
    <x v="0"/>
    <x v="0"/>
    <n v="3"/>
  </r>
  <r>
    <x v="70"/>
    <x v="5"/>
    <x v="4"/>
    <x v="0"/>
    <x v="68"/>
    <x v="69"/>
    <x v="49"/>
    <x v="0"/>
    <x v="2"/>
    <n v="0"/>
  </r>
  <r>
    <x v="71"/>
    <x v="5"/>
    <x v="4"/>
    <x v="0"/>
    <x v="69"/>
    <x v="22"/>
    <x v="50"/>
    <x v="0"/>
    <x v="2"/>
    <n v="0"/>
  </r>
  <r>
    <x v="72"/>
    <x v="5"/>
    <x v="4"/>
    <x v="0"/>
    <x v="70"/>
    <x v="0"/>
    <x v="51"/>
    <x v="0"/>
    <x v="0"/>
    <n v="5"/>
  </r>
  <r>
    <x v="73"/>
    <x v="5"/>
    <x v="4"/>
    <x v="2"/>
    <x v="71"/>
    <x v="70"/>
    <x v="52"/>
    <x v="0"/>
    <x v="2"/>
    <n v="0"/>
  </r>
  <r>
    <x v="74"/>
    <x v="5"/>
    <x v="4"/>
    <x v="2"/>
    <x v="72"/>
    <x v="71"/>
    <x v="1"/>
    <x v="3"/>
    <x v="1"/>
    <n v="0"/>
  </r>
  <r>
    <x v="75"/>
    <x v="5"/>
    <x v="4"/>
    <x v="3"/>
    <x v="73"/>
    <x v="72"/>
    <x v="53"/>
    <x v="0"/>
    <x v="2"/>
    <n v="0"/>
  </r>
  <r>
    <x v="76"/>
    <x v="5"/>
    <x v="4"/>
    <x v="4"/>
    <x v="74"/>
    <x v="73"/>
    <x v="54"/>
    <x v="0"/>
    <x v="2"/>
    <n v="0"/>
  </r>
  <r>
    <x v="77"/>
    <x v="5"/>
    <x v="4"/>
    <x v="4"/>
    <x v="75"/>
    <x v="74"/>
    <x v="55"/>
    <x v="0"/>
    <x v="0"/>
    <n v="12"/>
  </r>
  <r>
    <x v="78"/>
    <x v="5"/>
    <x v="4"/>
    <x v="5"/>
    <x v="17"/>
    <x v="75"/>
    <x v="56"/>
    <x v="0"/>
    <x v="2"/>
    <n v="0"/>
  </r>
  <r>
    <x v="79"/>
    <x v="5"/>
    <x v="4"/>
    <x v="5"/>
    <x v="76"/>
    <x v="76"/>
    <x v="1"/>
    <x v="3"/>
    <x v="1"/>
    <n v="0"/>
  </r>
  <r>
    <x v="60"/>
    <x v="6"/>
    <x v="0"/>
    <x v="0"/>
    <x v="77"/>
    <x v="77"/>
    <x v="1"/>
    <x v="3"/>
    <x v="1"/>
    <n v="0"/>
  </r>
  <r>
    <x v="80"/>
    <x v="6"/>
    <x v="0"/>
    <x v="0"/>
    <x v="78"/>
    <x v="78"/>
    <x v="57"/>
    <x v="0"/>
    <x v="0"/>
    <n v="2"/>
  </r>
  <r>
    <x v="81"/>
    <x v="6"/>
    <x v="0"/>
    <x v="1"/>
    <x v="40"/>
    <x v="79"/>
    <x v="58"/>
    <x v="0"/>
    <x v="0"/>
    <n v="4"/>
  </r>
  <r>
    <x v="82"/>
    <x v="6"/>
    <x v="0"/>
    <x v="2"/>
    <x v="79"/>
    <x v="49"/>
    <x v="59"/>
    <x v="0"/>
    <x v="0"/>
    <n v="7"/>
  </r>
  <r>
    <x v="83"/>
    <x v="6"/>
    <x v="0"/>
    <x v="3"/>
    <x v="80"/>
    <x v="80"/>
    <x v="1"/>
    <x v="1"/>
    <x v="1"/>
    <n v="0"/>
  </r>
  <r>
    <x v="84"/>
    <x v="6"/>
    <x v="0"/>
    <x v="3"/>
    <x v="14"/>
    <x v="81"/>
    <x v="1"/>
    <x v="2"/>
    <x v="1"/>
    <n v="0"/>
  </r>
  <r>
    <x v="33"/>
    <x v="6"/>
    <x v="0"/>
    <x v="4"/>
    <x v="81"/>
    <x v="35"/>
    <x v="60"/>
    <x v="0"/>
    <x v="2"/>
    <n v="0"/>
  </r>
  <r>
    <x v="15"/>
    <x v="6"/>
    <x v="0"/>
    <x v="4"/>
    <x v="82"/>
    <x v="82"/>
    <x v="61"/>
    <x v="0"/>
    <x v="0"/>
    <n v="1"/>
  </r>
  <r>
    <x v="85"/>
    <x v="7"/>
    <x v="5"/>
    <x v="0"/>
    <x v="83"/>
    <x v="74"/>
    <x v="55"/>
    <x v="0"/>
    <x v="0"/>
    <n v="12"/>
  </r>
  <r>
    <x v="86"/>
    <x v="7"/>
    <x v="5"/>
    <x v="0"/>
    <x v="50"/>
    <x v="83"/>
    <x v="62"/>
    <x v="0"/>
    <x v="2"/>
    <n v="0"/>
  </r>
  <r>
    <x v="87"/>
    <x v="7"/>
    <x v="5"/>
    <x v="0"/>
    <x v="84"/>
    <x v="84"/>
    <x v="63"/>
    <x v="0"/>
    <x v="0"/>
    <n v="18"/>
  </r>
  <r>
    <x v="2"/>
    <x v="7"/>
    <x v="5"/>
    <x v="1"/>
    <x v="85"/>
    <x v="85"/>
    <x v="1"/>
    <x v="2"/>
    <x v="1"/>
    <n v="0"/>
  </r>
  <r>
    <x v="88"/>
    <x v="7"/>
    <x v="5"/>
    <x v="3"/>
    <x v="86"/>
    <x v="86"/>
    <x v="64"/>
    <x v="0"/>
    <x v="0"/>
    <n v="8"/>
  </r>
  <r>
    <x v="37"/>
    <x v="7"/>
    <x v="5"/>
    <x v="4"/>
    <x v="87"/>
    <x v="87"/>
    <x v="1"/>
    <x v="3"/>
    <x v="1"/>
    <n v="0"/>
  </r>
  <r>
    <x v="89"/>
    <x v="7"/>
    <x v="5"/>
    <x v="4"/>
    <x v="88"/>
    <x v="88"/>
    <x v="65"/>
    <x v="0"/>
    <x v="2"/>
    <n v="0"/>
  </r>
  <r>
    <x v="90"/>
    <x v="7"/>
    <x v="5"/>
    <x v="4"/>
    <x v="89"/>
    <x v="89"/>
    <x v="66"/>
    <x v="0"/>
    <x v="0"/>
    <n v="17"/>
  </r>
  <r>
    <x v="30"/>
    <x v="7"/>
    <x v="5"/>
    <x v="4"/>
    <x v="90"/>
    <x v="32"/>
    <x v="1"/>
    <x v="3"/>
    <x v="1"/>
    <n v="0"/>
  </r>
  <r>
    <x v="91"/>
    <x v="7"/>
    <x v="5"/>
    <x v="4"/>
    <x v="91"/>
    <x v="90"/>
    <x v="67"/>
    <x v="0"/>
    <x v="2"/>
    <n v="0"/>
  </r>
  <r>
    <x v="92"/>
    <x v="7"/>
    <x v="5"/>
    <x v="4"/>
    <x v="92"/>
    <x v="91"/>
    <x v="68"/>
    <x v="0"/>
    <x v="2"/>
    <n v="0"/>
  </r>
  <r>
    <x v="93"/>
    <x v="7"/>
    <x v="5"/>
    <x v="4"/>
    <x v="41"/>
    <x v="92"/>
    <x v="1"/>
    <x v="2"/>
    <x v="1"/>
    <n v="0"/>
  </r>
  <r>
    <x v="43"/>
    <x v="7"/>
    <x v="5"/>
    <x v="5"/>
    <x v="93"/>
    <x v="72"/>
    <x v="53"/>
    <x v="0"/>
    <x v="2"/>
    <n v="0"/>
  </r>
  <r>
    <x v="94"/>
    <x v="7"/>
    <x v="5"/>
    <x v="5"/>
    <x v="94"/>
    <x v="93"/>
    <x v="1"/>
    <x v="3"/>
    <x v="1"/>
    <n v="0"/>
  </r>
  <r>
    <x v="95"/>
    <x v="8"/>
    <x v="2"/>
    <x v="0"/>
    <x v="95"/>
    <x v="94"/>
    <x v="69"/>
    <x v="0"/>
    <x v="0"/>
    <n v="3"/>
  </r>
  <r>
    <x v="77"/>
    <x v="8"/>
    <x v="2"/>
    <x v="0"/>
    <x v="96"/>
    <x v="95"/>
    <x v="70"/>
    <x v="0"/>
    <x v="2"/>
    <n v="0"/>
  </r>
  <r>
    <x v="96"/>
    <x v="8"/>
    <x v="2"/>
    <x v="0"/>
    <x v="97"/>
    <x v="96"/>
    <x v="71"/>
    <x v="0"/>
    <x v="2"/>
    <n v="0"/>
  </r>
  <r>
    <x v="34"/>
    <x v="8"/>
    <x v="2"/>
    <x v="1"/>
    <x v="98"/>
    <x v="97"/>
    <x v="72"/>
    <x v="0"/>
    <x v="2"/>
    <n v="0"/>
  </r>
  <r>
    <x v="97"/>
    <x v="8"/>
    <x v="2"/>
    <x v="1"/>
    <x v="99"/>
    <x v="98"/>
    <x v="1"/>
    <x v="2"/>
    <x v="1"/>
    <n v="0"/>
  </r>
  <r>
    <x v="1"/>
    <x v="8"/>
    <x v="2"/>
    <x v="1"/>
    <x v="100"/>
    <x v="99"/>
    <x v="73"/>
    <x v="0"/>
    <x v="0"/>
    <n v="5"/>
  </r>
  <r>
    <x v="98"/>
    <x v="8"/>
    <x v="2"/>
    <x v="1"/>
    <x v="77"/>
    <x v="24"/>
    <x v="74"/>
    <x v="0"/>
    <x v="0"/>
    <n v="15"/>
  </r>
  <r>
    <x v="99"/>
    <x v="8"/>
    <x v="2"/>
    <x v="1"/>
    <x v="101"/>
    <x v="100"/>
    <x v="1"/>
    <x v="1"/>
    <x v="1"/>
    <n v="0"/>
  </r>
  <r>
    <x v="100"/>
    <x v="8"/>
    <x v="2"/>
    <x v="1"/>
    <x v="102"/>
    <x v="101"/>
    <x v="75"/>
    <x v="0"/>
    <x v="2"/>
    <n v="0"/>
  </r>
  <r>
    <x v="101"/>
    <x v="8"/>
    <x v="2"/>
    <x v="2"/>
    <x v="49"/>
    <x v="102"/>
    <x v="29"/>
    <x v="0"/>
    <x v="0"/>
    <n v="2"/>
  </r>
  <r>
    <x v="102"/>
    <x v="8"/>
    <x v="2"/>
    <x v="2"/>
    <x v="12"/>
    <x v="103"/>
    <x v="1"/>
    <x v="1"/>
    <x v="1"/>
    <n v="0"/>
  </r>
  <r>
    <x v="103"/>
    <x v="8"/>
    <x v="2"/>
    <x v="3"/>
    <x v="101"/>
    <x v="104"/>
    <x v="1"/>
    <x v="2"/>
    <x v="1"/>
    <n v="0"/>
  </r>
  <r>
    <x v="104"/>
    <x v="8"/>
    <x v="2"/>
    <x v="3"/>
    <x v="103"/>
    <x v="105"/>
    <x v="76"/>
    <x v="0"/>
    <x v="2"/>
    <n v="0"/>
  </r>
  <r>
    <x v="105"/>
    <x v="8"/>
    <x v="2"/>
    <x v="5"/>
    <x v="104"/>
    <x v="32"/>
    <x v="77"/>
    <x v="0"/>
    <x v="2"/>
    <n v="0"/>
  </r>
  <r>
    <x v="106"/>
    <x v="8"/>
    <x v="2"/>
    <x v="5"/>
    <x v="2"/>
    <x v="48"/>
    <x v="78"/>
    <x v="0"/>
    <x v="2"/>
    <n v="0"/>
  </r>
  <r>
    <x v="107"/>
    <x v="9"/>
    <x v="2"/>
    <x v="0"/>
    <x v="105"/>
    <x v="106"/>
    <x v="57"/>
    <x v="0"/>
    <x v="2"/>
    <n v="0"/>
  </r>
  <r>
    <x v="108"/>
    <x v="9"/>
    <x v="2"/>
    <x v="0"/>
    <x v="106"/>
    <x v="107"/>
    <x v="79"/>
    <x v="0"/>
    <x v="0"/>
    <n v="1"/>
  </r>
  <r>
    <x v="81"/>
    <x v="9"/>
    <x v="2"/>
    <x v="0"/>
    <x v="107"/>
    <x v="108"/>
    <x v="1"/>
    <x v="3"/>
    <x v="1"/>
    <n v="0"/>
  </r>
  <r>
    <x v="109"/>
    <x v="9"/>
    <x v="2"/>
    <x v="1"/>
    <x v="108"/>
    <x v="109"/>
    <x v="1"/>
    <x v="3"/>
    <x v="1"/>
    <n v="0"/>
  </r>
  <r>
    <x v="110"/>
    <x v="9"/>
    <x v="2"/>
    <x v="1"/>
    <x v="36"/>
    <x v="5"/>
    <x v="1"/>
    <x v="1"/>
    <x v="1"/>
    <n v="0"/>
  </r>
  <r>
    <x v="111"/>
    <x v="9"/>
    <x v="2"/>
    <x v="1"/>
    <x v="6"/>
    <x v="110"/>
    <x v="1"/>
    <x v="1"/>
    <x v="1"/>
    <n v="0"/>
  </r>
  <r>
    <x v="112"/>
    <x v="9"/>
    <x v="2"/>
    <x v="3"/>
    <x v="109"/>
    <x v="111"/>
    <x v="80"/>
    <x v="0"/>
    <x v="2"/>
    <n v="0"/>
  </r>
  <r>
    <x v="109"/>
    <x v="9"/>
    <x v="2"/>
    <x v="3"/>
    <x v="110"/>
    <x v="9"/>
    <x v="7"/>
    <x v="0"/>
    <x v="2"/>
    <n v="0"/>
  </r>
  <r>
    <x v="18"/>
    <x v="9"/>
    <x v="2"/>
    <x v="3"/>
    <x v="103"/>
    <x v="24"/>
    <x v="81"/>
    <x v="0"/>
    <x v="2"/>
    <n v="0"/>
  </r>
  <r>
    <x v="113"/>
    <x v="9"/>
    <x v="2"/>
    <x v="3"/>
    <x v="111"/>
    <x v="111"/>
    <x v="1"/>
    <x v="2"/>
    <x v="1"/>
    <n v="0"/>
  </r>
  <r>
    <x v="114"/>
    <x v="9"/>
    <x v="2"/>
    <x v="3"/>
    <x v="112"/>
    <x v="112"/>
    <x v="1"/>
    <x v="3"/>
    <x v="1"/>
    <n v="0"/>
  </r>
  <r>
    <x v="115"/>
    <x v="9"/>
    <x v="2"/>
    <x v="4"/>
    <x v="113"/>
    <x v="113"/>
    <x v="82"/>
    <x v="0"/>
    <x v="2"/>
    <n v="0"/>
  </r>
  <r>
    <x v="116"/>
    <x v="9"/>
    <x v="2"/>
    <x v="4"/>
    <x v="114"/>
    <x v="114"/>
    <x v="83"/>
    <x v="0"/>
    <x v="2"/>
    <n v="0"/>
  </r>
  <r>
    <x v="117"/>
    <x v="9"/>
    <x v="2"/>
    <x v="5"/>
    <x v="115"/>
    <x v="115"/>
    <x v="38"/>
    <x v="0"/>
    <x v="2"/>
    <n v="0"/>
  </r>
  <r>
    <x v="118"/>
    <x v="9"/>
    <x v="2"/>
    <x v="5"/>
    <x v="116"/>
    <x v="116"/>
    <x v="84"/>
    <x v="0"/>
    <x v="0"/>
    <n v="2"/>
  </r>
  <r>
    <x v="119"/>
    <x v="9"/>
    <x v="2"/>
    <x v="5"/>
    <x v="117"/>
    <x v="117"/>
    <x v="85"/>
    <x v="0"/>
    <x v="0"/>
    <n v="6"/>
  </r>
  <r>
    <x v="103"/>
    <x v="9"/>
    <x v="2"/>
    <x v="5"/>
    <x v="118"/>
    <x v="118"/>
    <x v="86"/>
    <x v="0"/>
    <x v="0"/>
    <n v="19"/>
  </r>
  <r>
    <x v="120"/>
    <x v="10"/>
    <x v="5"/>
    <x v="0"/>
    <x v="119"/>
    <x v="119"/>
    <x v="87"/>
    <x v="0"/>
    <x v="2"/>
    <n v="0"/>
  </r>
  <r>
    <x v="121"/>
    <x v="10"/>
    <x v="5"/>
    <x v="0"/>
    <x v="120"/>
    <x v="120"/>
    <x v="58"/>
    <x v="0"/>
    <x v="2"/>
    <n v="0"/>
  </r>
  <r>
    <x v="122"/>
    <x v="10"/>
    <x v="5"/>
    <x v="0"/>
    <x v="68"/>
    <x v="121"/>
    <x v="88"/>
    <x v="0"/>
    <x v="2"/>
    <n v="0"/>
  </r>
  <r>
    <x v="123"/>
    <x v="10"/>
    <x v="5"/>
    <x v="0"/>
    <x v="121"/>
    <x v="122"/>
    <x v="40"/>
    <x v="0"/>
    <x v="2"/>
    <n v="0"/>
  </r>
  <r>
    <x v="124"/>
    <x v="10"/>
    <x v="5"/>
    <x v="1"/>
    <x v="122"/>
    <x v="123"/>
    <x v="1"/>
    <x v="1"/>
    <x v="1"/>
    <n v="0"/>
  </r>
  <r>
    <x v="125"/>
    <x v="10"/>
    <x v="5"/>
    <x v="2"/>
    <x v="58"/>
    <x v="124"/>
    <x v="89"/>
    <x v="0"/>
    <x v="0"/>
    <n v="3"/>
  </r>
  <r>
    <x v="106"/>
    <x v="10"/>
    <x v="5"/>
    <x v="2"/>
    <x v="123"/>
    <x v="125"/>
    <x v="1"/>
    <x v="3"/>
    <x v="1"/>
    <n v="0"/>
  </r>
  <r>
    <x v="126"/>
    <x v="10"/>
    <x v="5"/>
    <x v="2"/>
    <x v="39"/>
    <x v="126"/>
    <x v="90"/>
    <x v="0"/>
    <x v="2"/>
    <n v="0"/>
  </r>
  <r>
    <x v="127"/>
    <x v="10"/>
    <x v="5"/>
    <x v="3"/>
    <x v="124"/>
    <x v="108"/>
    <x v="1"/>
    <x v="3"/>
    <x v="1"/>
    <n v="0"/>
  </r>
  <r>
    <x v="71"/>
    <x v="10"/>
    <x v="5"/>
    <x v="3"/>
    <x v="125"/>
    <x v="127"/>
    <x v="64"/>
    <x v="0"/>
    <x v="2"/>
    <n v="0"/>
  </r>
  <r>
    <x v="128"/>
    <x v="10"/>
    <x v="5"/>
    <x v="4"/>
    <x v="126"/>
    <x v="128"/>
    <x v="91"/>
    <x v="0"/>
    <x v="2"/>
    <n v="0"/>
  </r>
  <r>
    <x v="98"/>
    <x v="10"/>
    <x v="5"/>
    <x v="4"/>
    <x v="71"/>
    <x v="60"/>
    <x v="42"/>
    <x v="0"/>
    <x v="2"/>
    <n v="0"/>
  </r>
  <r>
    <x v="129"/>
    <x v="10"/>
    <x v="5"/>
    <x v="4"/>
    <x v="127"/>
    <x v="129"/>
    <x v="48"/>
    <x v="0"/>
    <x v="2"/>
    <n v="0"/>
  </r>
  <r>
    <x v="130"/>
    <x v="10"/>
    <x v="5"/>
    <x v="5"/>
    <x v="128"/>
    <x v="130"/>
    <x v="92"/>
    <x v="0"/>
    <x v="2"/>
    <n v="0"/>
  </r>
  <r>
    <x v="131"/>
    <x v="10"/>
    <x v="5"/>
    <x v="5"/>
    <x v="129"/>
    <x v="131"/>
    <x v="1"/>
    <x v="3"/>
    <x v="1"/>
    <n v="0"/>
  </r>
  <r>
    <x v="132"/>
    <x v="11"/>
    <x v="5"/>
    <x v="0"/>
    <x v="130"/>
    <x v="132"/>
    <x v="1"/>
    <x v="3"/>
    <x v="1"/>
    <n v="0"/>
  </r>
  <r>
    <x v="133"/>
    <x v="11"/>
    <x v="5"/>
    <x v="0"/>
    <x v="131"/>
    <x v="133"/>
    <x v="1"/>
    <x v="2"/>
    <x v="1"/>
    <n v="0"/>
  </r>
  <r>
    <x v="134"/>
    <x v="11"/>
    <x v="5"/>
    <x v="0"/>
    <x v="59"/>
    <x v="134"/>
    <x v="93"/>
    <x v="0"/>
    <x v="0"/>
    <n v="16"/>
  </r>
  <r>
    <x v="135"/>
    <x v="11"/>
    <x v="5"/>
    <x v="2"/>
    <x v="132"/>
    <x v="135"/>
    <x v="1"/>
    <x v="3"/>
    <x v="1"/>
    <n v="0"/>
  </r>
  <r>
    <x v="136"/>
    <x v="11"/>
    <x v="5"/>
    <x v="2"/>
    <x v="133"/>
    <x v="136"/>
    <x v="1"/>
    <x v="1"/>
    <x v="1"/>
    <n v="0"/>
  </r>
  <r>
    <x v="137"/>
    <x v="11"/>
    <x v="5"/>
    <x v="2"/>
    <x v="134"/>
    <x v="137"/>
    <x v="1"/>
    <x v="2"/>
    <x v="1"/>
    <n v="0"/>
  </r>
  <r>
    <x v="138"/>
    <x v="11"/>
    <x v="5"/>
    <x v="3"/>
    <x v="135"/>
    <x v="138"/>
    <x v="94"/>
    <x v="0"/>
    <x v="2"/>
    <n v="0"/>
  </r>
  <r>
    <x v="139"/>
    <x v="11"/>
    <x v="5"/>
    <x v="4"/>
    <x v="136"/>
    <x v="127"/>
    <x v="1"/>
    <x v="1"/>
    <x v="1"/>
    <n v="0"/>
  </r>
  <r>
    <x v="70"/>
    <x v="11"/>
    <x v="5"/>
    <x v="4"/>
    <x v="137"/>
    <x v="109"/>
    <x v="95"/>
    <x v="0"/>
    <x v="2"/>
    <n v="0"/>
  </r>
  <r>
    <x v="120"/>
    <x v="11"/>
    <x v="5"/>
    <x v="5"/>
    <x v="117"/>
    <x v="139"/>
    <x v="93"/>
    <x v="0"/>
    <x v="2"/>
    <n v="0"/>
  </r>
  <r>
    <x v="140"/>
    <x v="11"/>
    <x v="5"/>
    <x v="5"/>
    <x v="93"/>
    <x v="23"/>
    <x v="1"/>
    <x v="3"/>
    <x v="1"/>
    <n v="0"/>
  </r>
  <r>
    <x v="91"/>
    <x v="11"/>
    <x v="5"/>
    <x v="5"/>
    <x v="14"/>
    <x v="140"/>
    <x v="96"/>
    <x v="0"/>
    <x v="2"/>
    <n v="0"/>
  </r>
  <r>
    <x v="95"/>
    <x v="12"/>
    <x v="5"/>
    <x v="0"/>
    <x v="138"/>
    <x v="50"/>
    <x v="97"/>
    <x v="0"/>
    <x v="2"/>
    <n v="0"/>
  </r>
  <r>
    <x v="141"/>
    <x v="12"/>
    <x v="5"/>
    <x v="0"/>
    <x v="139"/>
    <x v="141"/>
    <x v="1"/>
    <x v="2"/>
    <x v="1"/>
    <n v="0"/>
  </r>
  <r>
    <x v="142"/>
    <x v="12"/>
    <x v="5"/>
    <x v="0"/>
    <x v="140"/>
    <x v="23"/>
    <x v="1"/>
    <x v="2"/>
    <x v="1"/>
    <n v="0"/>
  </r>
  <r>
    <x v="69"/>
    <x v="12"/>
    <x v="5"/>
    <x v="0"/>
    <x v="141"/>
    <x v="142"/>
    <x v="1"/>
    <x v="3"/>
    <x v="1"/>
    <n v="0"/>
  </r>
  <r>
    <x v="72"/>
    <x v="12"/>
    <x v="5"/>
    <x v="0"/>
    <x v="142"/>
    <x v="143"/>
    <x v="98"/>
    <x v="0"/>
    <x v="0"/>
    <n v="20"/>
  </r>
  <r>
    <x v="143"/>
    <x v="12"/>
    <x v="5"/>
    <x v="1"/>
    <x v="143"/>
    <x v="144"/>
    <x v="99"/>
    <x v="0"/>
    <x v="0"/>
    <n v="3"/>
  </r>
  <r>
    <x v="144"/>
    <x v="12"/>
    <x v="5"/>
    <x v="2"/>
    <x v="20"/>
    <x v="145"/>
    <x v="1"/>
    <x v="3"/>
    <x v="1"/>
    <n v="0"/>
  </r>
  <r>
    <x v="145"/>
    <x v="12"/>
    <x v="5"/>
    <x v="3"/>
    <x v="144"/>
    <x v="92"/>
    <x v="1"/>
    <x v="2"/>
    <x v="1"/>
    <n v="0"/>
  </r>
  <r>
    <x v="146"/>
    <x v="12"/>
    <x v="5"/>
    <x v="4"/>
    <x v="145"/>
    <x v="146"/>
    <x v="100"/>
    <x v="0"/>
    <x v="2"/>
    <n v="0"/>
  </r>
  <r>
    <x v="147"/>
    <x v="12"/>
    <x v="5"/>
    <x v="5"/>
    <x v="146"/>
    <x v="137"/>
    <x v="75"/>
    <x v="0"/>
    <x v="0"/>
    <n v="5"/>
  </r>
  <r>
    <x v="148"/>
    <x v="13"/>
    <x v="3"/>
    <x v="0"/>
    <x v="147"/>
    <x v="97"/>
    <x v="101"/>
    <x v="0"/>
    <x v="0"/>
    <n v="3"/>
  </r>
  <r>
    <x v="149"/>
    <x v="13"/>
    <x v="3"/>
    <x v="0"/>
    <x v="29"/>
    <x v="117"/>
    <x v="1"/>
    <x v="3"/>
    <x v="1"/>
    <n v="0"/>
  </r>
  <r>
    <x v="117"/>
    <x v="13"/>
    <x v="3"/>
    <x v="1"/>
    <x v="148"/>
    <x v="147"/>
    <x v="102"/>
    <x v="0"/>
    <x v="2"/>
    <n v="0"/>
  </r>
  <r>
    <x v="150"/>
    <x v="13"/>
    <x v="3"/>
    <x v="1"/>
    <x v="149"/>
    <x v="148"/>
    <x v="103"/>
    <x v="0"/>
    <x v="2"/>
    <n v="0"/>
  </r>
  <r>
    <x v="151"/>
    <x v="13"/>
    <x v="3"/>
    <x v="1"/>
    <x v="150"/>
    <x v="149"/>
    <x v="1"/>
    <x v="2"/>
    <x v="1"/>
    <n v="0"/>
  </r>
  <r>
    <x v="73"/>
    <x v="13"/>
    <x v="3"/>
    <x v="1"/>
    <x v="151"/>
    <x v="129"/>
    <x v="1"/>
    <x v="1"/>
    <x v="1"/>
    <n v="0"/>
  </r>
  <r>
    <x v="2"/>
    <x v="13"/>
    <x v="3"/>
    <x v="1"/>
    <x v="152"/>
    <x v="71"/>
    <x v="104"/>
    <x v="0"/>
    <x v="2"/>
    <n v="0"/>
  </r>
  <r>
    <x v="14"/>
    <x v="13"/>
    <x v="3"/>
    <x v="2"/>
    <x v="153"/>
    <x v="150"/>
    <x v="105"/>
    <x v="0"/>
    <x v="0"/>
    <n v="2"/>
  </r>
  <r>
    <x v="152"/>
    <x v="13"/>
    <x v="3"/>
    <x v="2"/>
    <x v="33"/>
    <x v="151"/>
    <x v="1"/>
    <x v="1"/>
    <x v="1"/>
    <n v="0"/>
  </r>
  <r>
    <x v="153"/>
    <x v="13"/>
    <x v="3"/>
    <x v="3"/>
    <x v="9"/>
    <x v="152"/>
    <x v="12"/>
    <x v="0"/>
    <x v="2"/>
    <n v="0"/>
  </r>
  <r>
    <x v="154"/>
    <x v="13"/>
    <x v="3"/>
    <x v="3"/>
    <x v="23"/>
    <x v="153"/>
    <x v="106"/>
    <x v="0"/>
    <x v="2"/>
    <n v="0"/>
  </r>
  <r>
    <x v="114"/>
    <x v="13"/>
    <x v="3"/>
    <x v="4"/>
    <x v="154"/>
    <x v="112"/>
    <x v="107"/>
    <x v="0"/>
    <x v="2"/>
    <n v="0"/>
  </r>
  <r>
    <x v="155"/>
    <x v="13"/>
    <x v="3"/>
    <x v="5"/>
    <x v="74"/>
    <x v="154"/>
    <x v="99"/>
    <x v="0"/>
    <x v="2"/>
    <n v="0"/>
  </r>
  <r>
    <x v="17"/>
    <x v="14"/>
    <x v="3"/>
    <x v="0"/>
    <x v="155"/>
    <x v="155"/>
    <x v="108"/>
    <x v="0"/>
    <x v="0"/>
    <n v="7"/>
  </r>
  <r>
    <x v="120"/>
    <x v="14"/>
    <x v="3"/>
    <x v="0"/>
    <x v="156"/>
    <x v="133"/>
    <x v="5"/>
    <x v="0"/>
    <x v="0"/>
    <n v="9"/>
  </r>
  <r>
    <x v="156"/>
    <x v="14"/>
    <x v="3"/>
    <x v="0"/>
    <x v="157"/>
    <x v="156"/>
    <x v="109"/>
    <x v="0"/>
    <x v="2"/>
    <n v="0"/>
  </r>
  <r>
    <x v="150"/>
    <x v="14"/>
    <x v="3"/>
    <x v="1"/>
    <x v="1"/>
    <x v="136"/>
    <x v="1"/>
    <x v="2"/>
    <x v="1"/>
    <n v="0"/>
  </r>
  <r>
    <x v="157"/>
    <x v="14"/>
    <x v="3"/>
    <x v="1"/>
    <x v="158"/>
    <x v="157"/>
    <x v="110"/>
    <x v="0"/>
    <x v="0"/>
    <n v="2"/>
  </r>
  <r>
    <x v="158"/>
    <x v="14"/>
    <x v="3"/>
    <x v="1"/>
    <x v="159"/>
    <x v="7"/>
    <x v="6"/>
    <x v="0"/>
    <x v="2"/>
    <n v="0"/>
  </r>
  <r>
    <x v="93"/>
    <x v="14"/>
    <x v="3"/>
    <x v="1"/>
    <x v="160"/>
    <x v="158"/>
    <x v="111"/>
    <x v="0"/>
    <x v="2"/>
    <n v="0"/>
  </r>
  <r>
    <x v="159"/>
    <x v="14"/>
    <x v="3"/>
    <x v="2"/>
    <x v="161"/>
    <x v="33"/>
    <x v="112"/>
    <x v="0"/>
    <x v="2"/>
    <n v="0"/>
  </r>
  <r>
    <x v="160"/>
    <x v="14"/>
    <x v="3"/>
    <x v="3"/>
    <x v="162"/>
    <x v="26"/>
    <x v="1"/>
    <x v="3"/>
    <x v="1"/>
    <n v="0"/>
  </r>
  <r>
    <x v="161"/>
    <x v="14"/>
    <x v="3"/>
    <x v="3"/>
    <x v="31"/>
    <x v="159"/>
    <x v="19"/>
    <x v="0"/>
    <x v="2"/>
    <n v="0"/>
  </r>
  <r>
    <x v="40"/>
    <x v="14"/>
    <x v="3"/>
    <x v="5"/>
    <x v="42"/>
    <x v="42"/>
    <x v="1"/>
    <x v="1"/>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CC3144-19E0-438F-8F23-B558274BC2F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4:F15" firstHeaderRow="0" firstDataRow="1" firstDataCol="0"/>
  <pivotFields count="4">
    <pivotField dataField="1" showAll="0"/>
    <pivotField dataField="1" numFmtId="164" showAll="0"/>
    <pivotField numFmtId="164" showAll="0"/>
    <pivotField dataField="1" numFmtId="164" showAll="0"/>
  </pivotFields>
  <rowItems count="1">
    <i/>
  </rowItems>
  <colFields count="1">
    <field x="-2"/>
  </colFields>
  <colItems count="3">
    <i>
      <x/>
    </i>
    <i i="1">
      <x v="1"/>
    </i>
    <i i="2">
      <x v="2"/>
    </i>
  </colItems>
  <dataFields count="3">
    <dataField name=" Total_POs" fld="0" baseField="0" baseItem="1"/>
    <dataField name="Total_Spending" fld="1" baseField="0" baseItem="1" numFmtId="165"/>
    <dataField name="Total savings" fld="3" baseField="0" baseItem="2" numFmtId="165"/>
  </dataFields>
  <formats count="9">
    <format dxfId="58">
      <pivotArea type="all" dataOnly="0" outline="0" fieldPosition="0"/>
    </format>
    <format dxfId="57">
      <pivotArea outline="0" collapsedLevelsAreSubtotals="1" fieldPosition="0"/>
    </format>
    <format dxfId="56">
      <pivotArea dataOnly="0" labelOnly="1" outline="0" fieldPosition="0">
        <references count="1">
          <reference field="4294967294" count="3">
            <x v="0"/>
            <x v="1"/>
            <x v="2"/>
          </reference>
        </references>
      </pivotArea>
    </format>
    <format dxfId="55">
      <pivotArea type="all" dataOnly="0" outline="0" fieldPosition="0"/>
    </format>
    <format dxfId="54">
      <pivotArea outline="0" collapsedLevelsAreSubtotals="1" fieldPosition="0"/>
    </format>
    <format dxfId="53">
      <pivotArea dataOnly="0" labelOnly="1" outline="0" fieldPosition="0">
        <references count="1">
          <reference field="4294967294" count="3">
            <x v="0"/>
            <x v="1"/>
            <x v="2"/>
          </reference>
        </references>
      </pivotArea>
    </format>
    <format dxfId="52">
      <pivotArea outline="0" collapsedLevelsAreSubtotals="1" fieldPosition="0"/>
    </format>
    <format dxfId="51">
      <pivotArea outline="0" collapsedLevelsAreSubtotals="1" fieldPosition="0"/>
    </format>
    <format dxfId="50">
      <pivotArea dataOnly="0" outline="0" fieldPosition="0">
        <references count="1">
          <reference field="4294967294" count="3">
            <x v="0"/>
            <x v="1"/>
            <x v="2"/>
          </reference>
        </references>
      </pivotArea>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B19B9E-9D79-4B48-9422-6093D8FDF8D3}" name="Estimates"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rowHeaderCaption="Departments">
  <location ref="A3:D43" firstHeaderRow="0" firstDataRow="1" firstDataCol="2"/>
  <pivotFields count="5">
    <pivotField compact="0" outline="0" showAll="0">
      <items count="16">
        <item x="1"/>
        <item x="8"/>
        <item x="11"/>
        <item x="14"/>
        <item x="2"/>
        <item x="10"/>
        <item x="7"/>
        <item x="4"/>
        <item x="3"/>
        <item x="6"/>
        <item x="9"/>
        <item x="0"/>
        <item x="13"/>
        <item x="5"/>
        <item x="12"/>
        <item t="default"/>
      </items>
    </pivotField>
    <pivotField axis="axisRow" compact="0" outline="0" showAll="0">
      <items count="7">
        <item x="1"/>
        <item x="2"/>
        <item x="4"/>
        <item x="3"/>
        <item x="0"/>
        <item x="5"/>
        <item t="default"/>
      </items>
    </pivotField>
    <pivotField axis="axisRow" compact="0" outline="0" showAll="0">
      <items count="7">
        <item x="0"/>
        <item x="5"/>
        <item x="1"/>
        <item x="2"/>
        <item x="3"/>
        <item x="4"/>
        <item t="default"/>
      </items>
    </pivotField>
    <pivotField dataField="1" compact="0" outline="0" showAll="0"/>
    <pivotField dataField="1" compact="0" numFmtId="164" outline="0" showAll="0"/>
  </pivotFields>
  <rowFields count="2">
    <field x="2"/>
    <field x="1"/>
  </rowFields>
  <rowItems count="40">
    <i>
      <x/>
      <x/>
    </i>
    <i r="1">
      <x v="1"/>
    </i>
    <i r="1">
      <x v="2"/>
    </i>
    <i r="1">
      <x v="3"/>
    </i>
    <i r="1">
      <x v="4"/>
    </i>
    <i r="1">
      <x v="5"/>
    </i>
    <i t="default">
      <x/>
    </i>
    <i>
      <x v="1"/>
      <x/>
    </i>
    <i r="1">
      <x v="1"/>
    </i>
    <i r="1">
      <x v="2"/>
    </i>
    <i r="1">
      <x v="3"/>
    </i>
    <i r="1">
      <x v="4"/>
    </i>
    <i t="default">
      <x v="1"/>
    </i>
    <i>
      <x v="2"/>
      <x/>
    </i>
    <i r="1">
      <x v="1"/>
    </i>
    <i r="1">
      <x v="3"/>
    </i>
    <i r="1">
      <x v="4"/>
    </i>
    <i r="1">
      <x v="5"/>
    </i>
    <i t="default">
      <x v="2"/>
    </i>
    <i>
      <x v="3"/>
      <x/>
    </i>
    <i r="1">
      <x v="1"/>
    </i>
    <i r="1">
      <x v="2"/>
    </i>
    <i r="1">
      <x v="3"/>
    </i>
    <i r="1">
      <x v="4"/>
    </i>
    <i r="1">
      <x v="5"/>
    </i>
    <i t="default">
      <x v="3"/>
    </i>
    <i>
      <x v="4"/>
      <x/>
    </i>
    <i r="1">
      <x v="1"/>
    </i>
    <i r="1">
      <x v="2"/>
    </i>
    <i r="1">
      <x v="3"/>
    </i>
    <i r="1">
      <x v="4"/>
    </i>
    <i r="1">
      <x v="5"/>
    </i>
    <i t="default">
      <x v="4"/>
    </i>
    <i>
      <x v="5"/>
      <x/>
    </i>
    <i r="1">
      <x v="1"/>
    </i>
    <i r="1">
      <x v="2"/>
    </i>
    <i r="1">
      <x v="3"/>
    </i>
    <i r="1">
      <x v="4"/>
    </i>
    <i r="1">
      <x v="5"/>
    </i>
    <i t="default">
      <x v="5"/>
    </i>
  </rowItems>
  <colFields count="1">
    <field x="-2"/>
  </colFields>
  <colItems count="2">
    <i>
      <x/>
    </i>
    <i i="1">
      <x v="1"/>
    </i>
  </colItems>
  <dataFields count="2">
    <dataField name="Sum of Total_Purchases" fld="3" baseField="0" baseItem="0"/>
    <dataField name="Sum of Total_Spending INR" fld="4" baseField="0" baseItem="0" numFmtId="164"/>
  </dataField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1E1B22-660B-4EE1-BBAE-0E6315863B8C}" name="Savings"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9" firstHeaderRow="1" firstDataRow="1" firstDataCol="1"/>
  <pivotFields count="7">
    <pivotField axis="axisRow" showAll="0" sortType="a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dataField="1" numFmtId="164" showAll="0"/>
  </pivotFields>
  <rowFields count="1">
    <field x="0"/>
  </rowFields>
  <rowItems count="6">
    <i>
      <x v="1"/>
    </i>
    <i>
      <x v="2"/>
    </i>
    <i>
      <x v="4"/>
    </i>
    <i>
      <x/>
    </i>
    <i>
      <x v="5"/>
    </i>
    <i>
      <x v="3"/>
    </i>
  </rowItems>
  <colItems count="1">
    <i/>
  </colItems>
  <dataFields count="1">
    <dataField name=" Total_Savings " fld="6" baseField="0" baseItem="3" numFmtId="165"/>
  </dataFields>
  <formats count="30">
    <format dxfId="49">
      <pivotArea field="0" type="button" dataOnly="0" labelOnly="1" outline="0" axis="axisRow" fieldPosition="0"/>
    </format>
    <format dxfId="48">
      <pivotArea dataOnly="0" labelOnly="1" outline="0" fieldPosition="0">
        <references count="1">
          <reference field="4294967294" count="1">
            <x v="0"/>
          </reference>
        </references>
      </pivotArea>
    </format>
    <format dxfId="47">
      <pivotArea field="0" type="button" dataOnly="0" labelOnly="1" outline="0" axis="axisRow" fieldPosition="0"/>
    </format>
    <format dxfId="46">
      <pivotArea dataOnly="0" labelOnly="1" outline="0" fieldPosition="0">
        <references count="1">
          <reference field="4294967294" count="1">
            <x v="0"/>
          </reference>
        </references>
      </pivotArea>
    </format>
    <format dxfId="45">
      <pivotArea outline="0" collapsedLevelsAreSubtotals="1" fieldPosition="0"/>
    </format>
    <format dxfId="44">
      <pivotArea dataOnly="0" labelOnly="1" fieldPosition="0">
        <references count="1">
          <reference field="0" count="0"/>
        </references>
      </pivotArea>
    </format>
    <format dxfId="43">
      <pivotArea dataOnly="0" labelOnly="1" grandRow="1" outline="0" fieldPosition="0"/>
    </format>
    <format dxfId="42">
      <pivotArea grandRow="1" outline="0" collapsedLevelsAreSubtotals="1" fieldPosition="0"/>
    </format>
    <format dxfId="41">
      <pivotArea dataOnly="0" labelOnly="1" grandRow="1" outline="0" fieldPosition="0"/>
    </format>
    <format dxfId="40">
      <pivotArea collapsedLevelsAreSubtotals="1" fieldPosition="0">
        <references count="1">
          <reference field="0" count="0"/>
        </references>
      </pivotArea>
    </format>
    <format dxfId="39">
      <pivotArea dataOnly="0" labelOnly="1" fieldPosition="0">
        <references count="1">
          <reference field="0" count="0"/>
        </references>
      </pivotArea>
    </format>
    <format dxfId="38">
      <pivotArea field="0" type="button" dataOnly="0" labelOnly="1" outline="0" axis="axisRow" fieldPosition="0"/>
    </format>
    <format dxfId="37">
      <pivotArea dataOnly="0" labelOnly="1" outline="0" fieldPosition="0">
        <references count="1">
          <reference field="4294967294" count="1">
            <x v="0"/>
          </reference>
        </references>
      </pivotArea>
    </format>
    <format dxfId="36">
      <pivotArea type="all" dataOnly="0" outline="0" fieldPosition="0"/>
    </format>
    <format dxfId="35">
      <pivotArea outline="0" collapsedLevelsAreSubtotals="1" fieldPosition="0"/>
    </format>
    <format dxfId="34">
      <pivotArea field="0" type="button" dataOnly="0" labelOnly="1" outline="0" axis="axisRow" fieldPosition="0"/>
    </format>
    <format dxfId="33">
      <pivotArea dataOnly="0" labelOnly="1" fieldPosition="0">
        <references count="1">
          <reference field="0" count="0"/>
        </references>
      </pivotArea>
    </format>
    <format dxfId="32">
      <pivotArea dataOnly="0" labelOnly="1" outline="0" fieldPosition="0">
        <references count="1">
          <reference field="4294967294" count="1">
            <x v="0"/>
          </reference>
        </references>
      </pivotArea>
    </format>
    <format dxfId="31">
      <pivotArea type="all" dataOnly="0" outline="0" fieldPosition="0"/>
    </format>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0" count="0"/>
        </references>
      </pivotArea>
    </format>
    <format dxfId="27">
      <pivotArea dataOnly="0" labelOnly="1" outline="0" fieldPosition="0">
        <references count="1">
          <reference field="4294967294" count="1">
            <x v="0"/>
          </reference>
        </references>
      </pivotArea>
    </format>
    <format dxfId="26">
      <pivotArea outline="0" collapsedLevelsAreSubtotals="1" fieldPosition="0">
        <references count="1">
          <reference field="4294967294" count="1" selected="0">
            <x v="0"/>
          </reference>
        </references>
      </pivotArea>
    </format>
    <format dxfId="25">
      <pivotArea dataOnly="0" labelOnly="1" fieldPosition="0">
        <references count="1">
          <reference field="0" count="0"/>
        </references>
      </pivotArea>
    </format>
    <format dxfId="24">
      <pivotArea type="all" dataOnly="0" outline="0" fieldPosition="0"/>
    </format>
    <format dxfId="23">
      <pivotArea outline="0" collapsedLevelsAreSubtotals="1" fieldPosition="0"/>
    </format>
    <format dxfId="22">
      <pivotArea field="0" type="button" dataOnly="0" labelOnly="1" outline="0" axis="axisRow" fieldPosition="0"/>
    </format>
    <format dxfId="21">
      <pivotArea dataOnly="0" labelOnly="1" fieldPosition="0">
        <references count="1">
          <reference field="0" count="0"/>
        </references>
      </pivotArea>
    </format>
    <format dxfId="20">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86C53F-7924-44E9-9489-B124FBBD3913}" name="PivotTable8"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C18" firstHeaderRow="0" firstDataRow="1" firstDataCol="1"/>
  <pivotFields count="5">
    <pivotField axis="axisRow" showAll="0" sortType="ascending">
      <items count="16">
        <item x="0"/>
        <item x="5"/>
        <item x="3"/>
        <item x="6"/>
        <item x="9"/>
        <item x="14"/>
        <item x="13"/>
        <item x="7"/>
        <item x="8"/>
        <item x="2"/>
        <item x="4"/>
        <item x="10"/>
        <item x="11"/>
        <item x="1"/>
        <item x="12"/>
        <item t="default"/>
      </items>
      <autoSortScope>
        <pivotArea dataOnly="0" outline="0" fieldPosition="0">
          <references count="1">
            <reference field="4294967294" count="1" selected="0">
              <x v="1"/>
            </reference>
          </references>
        </pivotArea>
      </autoSortScope>
    </pivotField>
    <pivotField showAll="0"/>
    <pivotField dataField="1" showAll="0"/>
    <pivotField dataField="1" showAll="0"/>
    <pivotField numFmtId="2" showAll="0"/>
  </pivotFields>
  <rowFields count="1">
    <field x="0"/>
  </rowFields>
  <rowItems count="15">
    <i>
      <x v="5"/>
    </i>
    <i>
      <x v="3"/>
    </i>
    <i>
      <x v="7"/>
    </i>
    <i>
      <x v="14"/>
    </i>
    <i>
      <x v="2"/>
    </i>
    <i>
      <x v="11"/>
    </i>
    <i>
      <x v="8"/>
    </i>
    <i>
      <x v="9"/>
    </i>
    <i>
      <x v="6"/>
    </i>
    <i>
      <x v="13"/>
    </i>
    <i>
      <x/>
    </i>
    <i>
      <x v="12"/>
    </i>
    <i>
      <x v="10"/>
    </i>
    <i>
      <x v="4"/>
    </i>
    <i>
      <x v="1"/>
    </i>
  </rowItems>
  <colFields count="1">
    <field x="-2"/>
  </colFields>
  <colItems count="2">
    <i>
      <x/>
    </i>
    <i i="1">
      <x v="1"/>
    </i>
  </colItems>
  <dataFields count="2">
    <dataField name=" Total_expenditure" fld="2" baseField="0" baseItem="0" numFmtId="165"/>
    <dataField name="Total_discount" fld="3" baseField="0" baseItem="0" numFmtId="165"/>
  </dataFields>
  <formats count="20">
    <format dxfId="19">
      <pivotArea type="all" dataOnly="0" outline="0" fieldPosition="0"/>
    </format>
    <format dxfId="18">
      <pivotArea outline="0" collapsedLevelsAreSubtotals="1" fieldPosition="0"/>
    </format>
    <format dxfId="17">
      <pivotArea field="0" type="button" dataOnly="0" labelOnly="1" outline="0" axis="axisRow" fieldPosition="0"/>
    </format>
    <format dxfId="16">
      <pivotArea dataOnly="0" labelOnly="1" fieldPosition="0">
        <references count="1">
          <reference field="0" count="0"/>
        </references>
      </pivotArea>
    </format>
    <format dxfId="15">
      <pivotArea dataOnly="0" labelOnly="1" grandRow="1" outline="0" fieldPosition="0"/>
    </format>
    <format dxfId="14">
      <pivotArea dataOnly="0" labelOnly="1" outline="0" fieldPosition="0">
        <references count="1">
          <reference field="4294967294" count="1">
            <x v="0"/>
          </reference>
        </references>
      </pivotArea>
    </format>
    <format dxfId="13">
      <pivotArea outline="0" fieldPosition="0">
        <references count="1">
          <reference field="4294967294" count="1">
            <x v="0"/>
          </reference>
        </references>
      </pivotArea>
    </format>
    <format dxfId="12">
      <pivotArea dataOnly="0" labelOnly="1" outline="0" fieldPosition="0">
        <references count="1">
          <reference field="4294967294" count="1">
            <x v="0"/>
          </reference>
        </references>
      </pivotArea>
    </format>
    <format dxfId="11">
      <pivotArea dataOnly="0" labelOnly="1" outline="0" fieldPosition="0">
        <references count="1">
          <reference field="4294967294" count="1">
            <x v="0"/>
          </reference>
        </references>
      </pivotArea>
    </format>
    <format dxfId="10">
      <pivotArea type="all" dataOnly="0" outline="0" fieldPosition="0"/>
    </format>
    <format dxfId="9">
      <pivotArea outline="0" collapsedLevelsAreSubtotals="1" fieldPosition="0"/>
    </format>
    <format dxfId="8">
      <pivotArea field="0" type="button" dataOnly="0" labelOnly="1" outline="0" axis="axisRow" fieldPosition="0"/>
    </format>
    <format dxfId="7">
      <pivotArea dataOnly="0" labelOnly="1" fieldPosition="0">
        <references count="1">
          <reference field="0" count="0"/>
        </references>
      </pivotArea>
    </format>
    <format dxfId="6">
      <pivotArea dataOnly="0" labelOnly="1" outline="0" fieldPosition="0">
        <references count="1">
          <reference field="4294967294" count="1">
            <x v="0"/>
          </reference>
        </references>
      </pivotArea>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outline="0" fieldPosition="0">
        <references count="1">
          <reference field="4294967294" count="1">
            <x v="0"/>
          </reference>
        </references>
      </pivotArea>
    </format>
    <format dxfId="0">
      <pivotArea outline="0" fieldPosition="0">
        <references count="1">
          <reference field="4294967294" count="1">
            <x v="1"/>
          </reference>
        </references>
      </pivotArea>
    </format>
  </formats>
  <chartFormats count="6">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C269C7-5E42-40C2-B782-296F4D037C45}"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endors" colHeaderCaption="Status">
  <location ref="A3:F100" firstHeaderRow="1" firstDataRow="2" firstDataCol="1"/>
  <pivotFields count="18">
    <pivotField numFmtId="14" showAll="0">
      <items count="163">
        <item x="58"/>
        <item x="34"/>
        <item x="147"/>
        <item x="29"/>
        <item x="137"/>
        <item x="14"/>
        <item x="82"/>
        <item x="116"/>
        <item x="100"/>
        <item x="35"/>
        <item x="148"/>
        <item x="26"/>
        <item x="53"/>
        <item x="38"/>
        <item x="86"/>
        <item x="13"/>
        <item x="142"/>
        <item x="78"/>
        <item x="94"/>
        <item x="102"/>
        <item x="50"/>
        <item x="79"/>
        <item x="152"/>
        <item x="36"/>
        <item x="21"/>
        <item x="109"/>
        <item x="67"/>
        <item x="7"/>
        <item x="97"/>
        <item x="140"/>
        <item x="8"/>
        <item x="70"/>
        <item x="161"/>
        <item x="9"/>
        <item x="113"/>
        <item x="56"/>
        <item x="132"/>
        <item x="112"/>
        <item x="10"/>
        <item x="105"/>
        <item x="52"/>
        <item x="11"/>
        <item x="76"/>
        <item x="46"/>
        <item x="96"/>
        <item x="30"/>
        <item x="51"/>
        <item x="40"/>
        <item x="146"/>
        <item x="5"/>
        <item x="159"/>
        <item x="130"/>
        <item x="125"/>
        <item x="133"/>
        <item x="110"/>
        <item x="128"/>
        <item x="83"/>
        <item x="120"/>
        <item x="64"/>
        <item x="59"/>
        <item x="155"/>
        <item x="126"/>
        <item x="134"/>
        <item x="41"/>
        <item x="31"/>
        <item x="37"/>
        <item x="143"/>
        <item x="107"/>
        <item x="16"/>
        <item x="135"/>
        <item x="80"/>
        <item x="27"/>
        <item x="22"/>
        <item x="103"/>
        <item x="124"/>
        <item x="99"/>
        <item x="123"/>
        <item x="32"/>
        <item x="95"/>
        <item x="141"/>
        <item x="18"/>
        <item x="84"/>
        <item x="144"/>
        <item x="88"/>
        <item x="136"/>
        <item x="104"/>
        <item x="98"/>
        <item x="71"/>
        <item x="114"/>
        <item x="20"/>
        <item x="150"/>
        <item x="153"/>
        <item x="89"/>
        <item x="106"/>
        <item x="90"/>
        <item x="45"/>
        <item x="44"/>
        <item x="122"/>
        <item x="139"/>
        <item x="4"/>
        <item x="69"/>
        <item x="28"/>
        <item x="48"/>
        <item x="62"/>
        <item x="156"/>
        <item x="12"/>
        <item x="19"/>
        <item x="55"/>
        <item x="131"/>
        <item x="117"/>
        <item x="25"/>
        <item x="49"/>
        <item x="61"/>
        <item x="73"/>
        <item x="101"/>
        <item x="157"/>
        <item x="39"/>
        <item x="81"/>
        <item x="129"/>
        <item x="57"/>
        <item x="42"/>
        <item x="127"/>
        <item x="75"/>
        <item x="63"/>
        <item x="111"/>
        <item x="17"/>
        <item x="0"/>
        <item x="151"/>
        <item x="43"/>
        <item x="121"/>
        <item x="66"/>
        <item x="87"/>
        <item x="158"/>
        <item x="74"/>
        <item x="154"/>
        <item x="72"/>
        <item x="3"/>
        <item x="118"/>
        <item x="33"/>
        <item x="60"/>
        <item x="85"/>
        <item x="54"/>
        <item x="160"/>
        <item x="47"/>
        <item x="91"/>
        <item x="149"/>
        <item x="2"/>
        <item x="24"/>
        <item x="6"/>
        <item x="119"/>
        <item x="115"/>
        <item x="108"/>
        <item x="65"/>
        <item x="68"/>
        <item x="145"/>
        <item x="77"/>
        <item x="138"/>
        <item x="1"/>
        <item x="92"/>
        <item x="93"/>
        <item x="23"/>
        <item x="15"/>
        <item t="default"/>
      </items>
    </pivotField>
    <pivotField axis="axisRow" showAll="0">
      <items count="16">
        <item x="0"/>
        <item x="1"/>
        <item x="2"/>
        <item x="3"/>
        <item x="4"/>
        <item x="5"/>
        <item x="6"/>
        <item x="7"/>
        <item x="8"/>
        <item x="9"/>
        <item x="10"/>
        <item x="11"/>
        <item x="12"/>
        <item x="13"/>
        <item x="14"/>
        <item t="default"/>
      </items>
    </pivotField>
    <pivotField showAll="0">
      <items count="7">
        <item x="0"/>
        <item x="3"/>
        <item x="1"/>
        <item x="2"/>
        <item x="5"/>
        <item x="4"/>
        <item t="default"/>
      </items>
    </pivotField>
    <pivotField axis="axisRow" showAll="0">
      <items count="7">
        <item x="0"/>
        <item x="1"/>
        <item x="2"/>
        <item x="3"/>
        <item x="4"/>
        <item x="5"/>
        <item t="default"/>
      </items>
    </pivotField>
    <pivotField showAll="0">
      <items count="164">
        <item x="121"/>
        <item x="47"/>
        <item x="95"/>
        <item x="126"/>
        <item x="3"/>
        <item x="35"/>
        <item x="93"/>
        <item x="112"/>
        <item x="155"/>
        <item x="124"/>
        <item x="113"/>
        <item x="68"/>
        <item x="27"/>
        <item x="108"/>
        <item x="85"/>
        <item x="142"/>
        <item x="97"/>
        <item x="61"/>
        <item x="123"/>
        <item x="75"/>
        <item x="17"/>
        <item x="83"/>
        <item x="24"/>
        <item x="152"/>
        <item x="118"/>
        <item x="25"/>
        <item x="49"/>
        <item x="45"/>
        <item x="2"/>
        <item x="98"/>
        <item x="42"/>
        <item x="107"/>
        <item x="140"/>
        <item x="9"/>
        <item x="158"/>
        <item x="46"/>
        <item x="76"/>
        <item x="110"/>
        <item x="73"/>
        <item x="151"/>
        <item x="18"/>
        <item x="116"/>
        <item x="32"/>
        <item x="23"/>
        <item x="90"/>
        <item x="51"/>
        <item x="146"/>
        <item x="115"/>
        <item x="29"/>
        <item x="50"/>
        <item x="157"/>
        <item x="0"/>
        <item x="60"/>
        <item x="13"/>
        <item x="28"/>
        <item x="120"/>
        <item x="41"/>
        <item x="145"/>
        <item x="22"/>
        <item x="12"/>
        <item x="65"/>
        <item x="137"/>
        <item x="72"/>
        <item x="105"/>
        <item x="55"/>
        <item x="130"/>
        <item x="82"/>
        <item x="161"/>
        <item x="96"/>
        <item x="81"/>
        <item x="43"/>
        <item x="48"/>
        <item x="80"/>
        <item x="54"/>
        <item x="144"/>
        <item x="69"/>
        <item x="86"/>
        <item x="58"/>
        <item x="20"/>
        <item x="89"/>
        <item x="114"/>
        <item x="103"/>
        <item x="119"/>
        <item x="74"/>
        <item x="59"/>
        <item x="131"/>
        <item x="67"/>
        <item x="84"/>
        <item x="63"/>
        <item x="15"/>
        <item x="162"/>
        <item x="106"/>
        <item x="44"/>
        <item x="52"/>
        <item x="30"/>
        <item x="102"/>
        <item x="1"/>
        <item x="99"/>
        <item x="134"/>
        <item x="111"/>
        <item x="159"/>
        <item x="7"/>
        <item x="14"/>
        <item x="141"/>
        <item x="4"/>
        <item x="109"/>
        <item x="38"/>
        <item x="127"/>
        <item x="56"/>
        <item x="79"/>
        <item x="88"/>
        <item x="57"/>
        <item x="148"/>
        <item x="66"/>
        <item x="135"/>
        <item x="154"/>
        <item x="37"/>
        <item x="139"/>
        <item x="91"/>
        <item x="8"/>
        <item x="149"/>
        <item x="147"/>
        <item x="6"/>
        <item x="133"/>
        <item x="5"/>
        <item x="150"/>
        <item x="122"/>
        <item x="53"/>
        <item x="71"/>
        <item x="77"/>
        <item x="21"/>
        <item x="129"/>
        <item x="132"/>
        <item x="143"/>
        <item x="160"/>
        <item x="117"/>
        <item x="33"/>
        <item x="70"/>
        <item x="94"/>
        <item x="136"/>
        <item x="62"/>
        <item x="128"/>
        <item x="101"/>
        <item x="156"/>
        <item x="100"/>
        <item x="39"/>
        <item x="92"/>
        <item x="26"/>
        <item x="153"/>
        <item x="138"/>
        <item x="40"/>
        <item x="16"/>
        <item x="31"/>
        <item x="64"/>
        <item x="87"/>
        <item x="34"/>
        <item x="19"/>
        <item x="36"/>
        <item x="11"/>
        <item x="125"/>
        <item x="78"/>
        <item x="10"/>
        <item x="104"/>
        <item t="default"/>
      </items>
    </pivotField>
    <pivotField numFmtId="14" showAll="0">
      <items count="161">
        <item x="56"/>
        <item x="137"/>
        <item x="16"/>
        <item x="36"/>
        <item x="101"/>
        <item x="150"/>
        <item x="15"/>
        <item x="31"/>
        <item x="97"/>
        <item x="75"/>
        <item x="28"/>
        <item x="53"/>
        <item x="40"/>
        <item x="76"/>
        <item x="49"/>
        <item x="114"/>
        <item x="83"/>
        <item x="103"/>
        <item x="37"/>
        <item x="13"/>
        <item x="8"/>
        <item x="9"/>
        <item x="69"/>
        <item x="151"/>
        <item x="38"/>
        <item x="23"/>
        <item x="93"/>
        <item x="54"/>
        <item x="66"/>
        <item x="11"/>
        <item x="159"/>
        <item x="10"/>
        <item x="109"/>
        <item x="132"/>
        <item x="111"/>
        <item x="12"/>
        <item x="52"/>
        <item x="98"/>
        <item x="146"/>
        <item x="128"/>
        <item x="130"/>
        <item x="80"/>
        <item x="96"/>
        <item x="5"/>
        <item x="119"/>
        <item x="32"/>
        <item x="51"/>
        <item x="63"/>
        <item x="73"/>
        <item x="124"/>
        <item x="133"/>
        <item x="39"/>
        <item x="42"/>
        <item x="134"/>
        <item x="6"/>
        <item x="33"/>
        <item x="87"/>
        <item x="144"/>
        <item x="154"/>
        <item x="126"/>
        <item x="104"/>
        <item x="123"/>
        <item x="78"/>
        <item x="139"/>
        <item x="106"/>
        <item x="18"/>
        <item x="57"/>
        <item x="122"/>
        <item x="135"/>
        <item x="29"/>
        <item x="118"/>
        <item x="20"/>
        <item x="94"/>
        <item x="24"/>
        <item x="81"/>
        <item x="100"/>
        <item x="136"/>
        <item x="105"/>
        <item x="88"/>
        <item x="125"/>
        <item x="22"/>
        <item x="86"/>
        <item x="112"/>
        <item x="89"/>
        <item x="34"/>
        <item x="50"/>
        <item x="141"/>
        <item x="127"/>
        <item x="142"/>
        <item x="145"/>
        <item x="148"/>
        <item x="30"/>
        <item x="44"/>
        <item x="60"/>
        <item x="47"/>
        <item x="131"/>
        <item x="14"/>
        <item x="152"/>
        <item x="48"/>
        <item x="147"/>
        <item x="27"/>
        <item x="21"/>
        <item x="45"/>
        <item x="121"/>
        <item x="4"/>
        <item x="68"/>
        <item x="129"/>
        <item x="156"/>
        <item x="43"/>
        <item x="108"/>
        <item x="102"/>
        <item x="41"/>
        <item x="55"/>
        <item x="115"/>
        <item x="79"/>
        <item x="120"/>
        <item x="157"/>
        <item x="61"/>
        <item x="59"/>
        <item x="65"/>
        <item x="70"/>
        <item x="64"/>
        <item x="72"/>
        <item x="62"/>
        <item x="110"/>
        <item x="19"/>
        <item x="116"/>
        <item x="0"/>
        <item x="149"/>
        <item x="153"/>
        <item x="155"/>
        <item x="46"/>
        <item x="143"/>
        <item x="3"/>
        <item x="77"/>
        <item x="84"/>
        <item x="85"/>
        <item x="35"/>
        <item x="7"/>
        <item x="58"/>
        <item x="71"/>
        <item x="90"/>
        <item x="74"/>
        <item x="117"/>
        <item x="2"/>
        <item x="26"/>
        <item x="113"/>
        <item x="158"/>
        <item x="95"/>
        <item x="140"/>
        <item x="138"/>
        <item x="17"/>
        <item x="1"/>
        <item x="67"/>
        <item x="91"/>
        <item x="92"/>
        <item x="25"/>
        <item x="99"/>
        <item x="107"/>
        <item x="82"/>
        <item t="default"/>
      </items>
    </pivotField>
    <pivotField showAll="0">
      <items count="114">
        <item x="39"/>
        <item x="14"/>
        <item x="75"/>
        <item x="105"/>
        <item x="72"/>
        <item x="56"/>
        <item x="101"/>
        <item x="13"/>
        <item x="23"/>
        <item x="35"/>
        <item x="83"/>
        <item x="62"/>
        <item x="59"/>
        <item x="11"/>
        <item x="7"/>
        <item x="49"/>
        <item x="46"/>
        <item x="9"/>
        <item x="19"/>
        <item x="8"/>
        <item x="95"/>
        <item x="80"/>
        <item x="10"/>
        <item x="100"/>
        <item x="91"/>
        <item x="92"/>
        <item x="71"/>
        <item x="87"/>
        <item x="77"/>
        <item x="36"/>
        <item x="54"/>
        <item x="26"/>
        <item x="89"/>
        <item x="28"/>
        <item x="30"/>
        <item x="5"/>
        <item x="112"/>
        <item x="99"/>
        <item x="90"/>
        <item x="93"/>
        <item x="57"/>
        <item x="16"/>
        <item x="40"/>
        <item x="31"/>
        <item x="24"/>
        <item x="18"/>
        <item x="81"/>
        <item x="69"/>
        <item x="86"/>
        <item x="20"/>
        <item x="76"/>
        <item x="65"/>
        <item x="74"/>
        <item x="50"/>
        <item x="107"/>
        <item x="27"/>
        <item x="97"/>
        <item x="64"/>
        <item x="103"/>
        <item x="66"/>
        <item x="42"/>
        <item x="32"/>
        <item x="12"/>
        <item x="25"/>
        <item x="78"/>
        <item x="102"/>
        <item x="34"/>
        <item x="88"/>
        <item x="4"/>
        <item x="48"/>
        <item x="109"/>
        <item x="22"/>
        <item x="29"/>
        <item x="38"/>
        <item x="58"/>
        <item x="110"/>
        <item x="41"/>
        <item x="45"/>
        <item x="52"/>
        <item x="53"/>
        <item x="43"/>
        <item x="44"/>
        <item x="17"/>
        <item x="84"/>
        <item x="51"/>
        <item x="106"/>
        <item x="0"/>
        <item x="33"/>
        <item x="3"/>
        <item x="108"/>
        <item x="37"/>
        <item x="60"/>
        <item x="6"/>
        <item x="104"/>
        <item x="67"/>
        <item x="98"/>
        <item x="63"/>
        <item x="2"/>
        <item x="82"/>
        <item x="85"/>
        <item x="111"/>
        <item x="55"/>
        <item x="70"/>
        <item x="96"/>
        <item x="94"/>
        <item x="15"/>
        <item x="68"/>
        <item x="21"/>
        <item x="79"/>
        <item x="73"/>
        <item x="47"/>
        <item x="61"/>
        <item x="1"/>
        <item t="default"/>
      </items>
    </pivotField>
    <pivotField axis="axisCol" showAll="0" sortType="ascending">
      <items count="5">
        <item x="2"/>
        <item x="0"/>
        <item x="1"/>
        <item x="3"/>
        <item t="default"/>
      </items>
    </pivotField>
    <pivotField dataField="1" showAll="0">
      <items count="4">
        <item x="0"/>
        <item x="1"/>
        <item x="2"/>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
    <field x="3"/>
  </rowFields>
  <rowItems count="96">
    <i>
      <x/>
    </i>
    <i r="1">
      <x/>
    </i>
    <i r="1">
      <x v="1"/>
    </i>
    <i r="1">
      <x v="2"/>
    </i>
    <i r="1">
      <x v="3"/>
    </i>
    <i r="1">
      <x v="4"/>
    </i>
    <i r="1">
      <x v="5"/>
    </i>
    <i>
      <x v="1"/>
    </i>
    <i r="1">
      <x/>
    </i>
    <i r="1">
      <x v="1"/>
    </i>
    <i r="1">
      <x v="3"/>
    </i>
    <i r="1">
      <x v="4"/>
    </i>
    <i r="1">
      <x v="5"/>
    </i>
    <i>
      <x v="2"/>
    </i>
    <i r="1">
      <x/>
    </i>
    <i r="1">
      <x v="1"/>
    </i>
    <i r="1">
      <x v="2"/>
    </i>
    <i r="1">
      <x v="3"/>
    </i>
    <i r="1">
      <x v="4"/>
    </i>
    <i r="1">
      <x v="5"/>
    </i>
    <i>
      <x v="3"/>
    </i>
    <i r="1">
      <x/>
    </i>
    <i r="1">
      <x v="2"/>
    </i>
    <i r="1">
      <x v="3"/>
    </i>
    <i r="1">
      <x v="4"/>
    </i>
    <i r="1">
      <x v="5"/>
    </i>
    <i>
      <x v="4"/>
    </i>
    <i r="1">
      <x v="1"/>
    </i>
    <i r="1">
      <x v="2"/>
    </i>
    <i r="1">
      <x v="3"/>
    </i>
    <i r="1">
      <x v="4"/>
    </i>
    <i r="1">
      <x v="5"/>
    </i>
    <i>
      <x v="5"/>
    </i>
    <i r="1">
      <x/>
    </i>
    <i r="1">
      <x v="2"/>
    </i>
    <i r="1">
      <x v="3"/>
    </i>
    <i r="1">
      <x v="4"/>
    </i>
    <i r="1">
      <x v="5"/>
    </i>
    <i>
      <x v="6"/>
    </i>
    <i r="1">
      <x/>
    </i>
    <i r="1">
      <x v="1"/>
    </i>
    <i r="1">
      <x v="2"/>
    </i>
    <i r="1">
      <x v="3"/>
    </i>
    <i r="1">
      <x v="4"/>
    </i>
    <i>
      <x v="7"/>
    </i>
    <i r="1">
      <x/>
    </i>
    <i r="1">
      <x v="1"/>
    </i>
    <i r="1">
      <x v="3"/>
    </i>
    <i r="1">
      <x v="4"/>
    </i>
    <i r="1">
      <x v="5"/>
    </i>
    <i>
      <x v="8"/>
    </i>
    <i r="1">
      <x/>
    </i>
    <i r="1">
      <x v="1"/>
    </i>
    <i r="1">
      <x v="2"/>
    </i>
    <i r="1">
      <x v="3"/>
    </i>
    <i r="1">
      <x v="5"/>
    </i>
    <i>
      <x v="9"/>
    </i>
    <i r="1">
      <x/>
    </i>
    <i r="1">
      <x v="1"/>
    </i>
    <i r="1">
      <x v="3"/>
    </i>
    <i r="1">
      <x v="4"/>
    </i>
    <i r="1">
      <x v="5"/>
    </i>
    <i>
      <x v="10"/>
    </i>
    <i r="1">
      <x/>
    </i>
    <i r="1">
      <x v="1"/>
    </i>
    <i r="1">
      <x v="2"/>
    </i>
    <i r="1">
      <x v="3"/>
    </i>
    <i r="1">
      <x v="4"/>
    </i>
    <i r="1">
      <x v="5"/>
    </i>
    <i>
      <x v="11"/>
    </i>
    <i r="1">
      <x/>
    </i>
    <i r="1">
      <x v="2"/>
    </i>
    <i r="1">
      <x v="3"/>
    </i>
    <i r="1">
      <x v="4"/>
    </i>
    <i r="1">
      <x v="5"/>
    </i>
    <i>
      <x v="12"/>
    </i>
    <i r="1">
      <x/>
    </i>
    <i r="1">
      <x v="1"/>
    </i>
    <i r="1">
      <x v="2"/>
    </i>
    <i r="1">
      <x v="3"/>
    </i>
    <i r="1">
      <x v="4"/>
    </i>
    <i r="1">
      <x v="5"/>
    </i>
    <i>
      <x v="13"/>
    </i>
    <i r="1">
      <x/>
    </i>
    <i r="1">
      <x v="1"/>
    </i>
    <i r="1">
      <x v="2"/>
    </i>
    <i r="1">
      <x v="3"/>
    </i>
    <i r="1">
      <x v="4"/>
    </i>
    <i r="1">
      <x v="5"/>
    </i>
    <i>
      <x v="14"/>
    </i>
    <i r="1">
      <x/>
    </i>
    <i r="1">
      <x v="1"/>
    </i>
    <i r="1">
      <x v="2"/>
    </i>
    <i r="1">
      <x v="3"/>
    </i>
    <i r="1">
      <x v="5"/>
    </i>
    <i t="grand">
      <x/>
    </i>
  </rowItems>
  <colFields count="1">
    <field x="7"/>
  </colFields>
  <colItems count="5">
    <i>
      <x/>
    </i>
    <i>
      <x v="1"/>
    </i>
    <i>
      <x v="2"/>
    </i>
    <i>
      <x v="3"/>
    </i>
    <i t="grand">
      <x/>
    </i>
  </colItems>
  <dataFields count="1">
    <dataField name="Status Report " fld="8" subtotal="count" baseField="0" baseItem="0"/>
  </dataFields>
  <formats count="44">
    <format dxfId="102">
      <pivotArea collapsedLevelsAreSubtotals="1" fieldPosition="0">
        <references count="1">
          <reference field="1" count="1">
            <x v="0"/>
          </reference>
        </references>
      </pivotArea>
    </format>
    <format dxfId="101">
      <pivotArea collapsedLevelsAreSubtotals="1" fieldPosition="0">
        <references count="1">
          <reference field="1" count="1">
            <x v="1"/>
          </reference>
        </references>
      </pivotArea>
    </format>
    <format dxfId="100">
      <pivotArea collapsedLevelsAreSubtotals="1" fieldPosition="0">
        <references count="1">
          <reference field="1" count="1">
            <x v="2"/>
          </reference>
        </references>
      </pivotArea>
    </format>
    <format dxfId="99">
      <pivotArea collapsedLevelsAreSubtotals="1" fieldPosition="0">
        <references count="1">
          <reference field="1" count="1">
            <x v="3"/>
          </reference>
        </references>
      </pivotArea>
    </format>
    <format dxfId="98">
      <pivotArea collapsedLevelsAreSubtotals="1" fieldPosition="0">
        <references count="1">
          <reference field="1" count="1">
            <x v="4"/>
          </reference>
        </references>
      </pivotArea>
    </format>
    <format dxfId="97">
      <pivotArea collapsedLevelsAreSubtotals="1" fieldPosition="0">
        <references count="1">
          <reference field="1" count="1">
            <x v="5"/>
          </reference>
        </references>
      </pivotArea>
    </format>
    <format dxfId="96">
      <pivotArea collapsedLevelsAreSubtotals="1" fieldPosition="0">
        <references count="1">
          <reference field="1" count="1">
            <x v="6"/>
          </reference>
        </references>
      </pivotArea>
    </format>
    <format dxfId="95">
      <pivotArea collapsedLevelsAreSubtotals="1" fieldPosition="0">
        <references count="1">
          <reference field="1" count="1">
            <x v="7"/>
          </reference>
        </references>
      </pivotArea>
    </format>
    <format dxfId="94">
      <pivotArea collapsedLevelsAreSubtotals="1" fieldPosition="0">
        <references count="1">
          <reference field="1" count="1">
            <x v="8"/>
          </reference>
        </references>
      </pivotArea>
    </format>
    <format dxfId="93">
      <pivotArea collapsedLevelsAreSubtotals="1" fieldPosition="0">
        <references count="1">
          <reference field="1" count="1">
            <x v="9"/>
          </reference>
        </references>
      </pivotArea>
    </format>
    <format dxfId="92">
      <pivotArea collapsedLevelsAreSubtotals="1" fieldPosition="0">
        <references count="1">
          <reference field="1" count="1">
            <x v="10"/>
          </reference>
        </references>
      </pivotArea>
    </format>
    <format dxfId="91">
      <pivotArea collapsedLevelsAreSubtotals="1" fieldPosition="0">
        <references count="1">
          <reference field="1" count="1">
            <x v="11"/>
          </reference>
        </references>
      </pivotArea>
    </format>
    <format dxfId="90">
      <pivotArea collapsedLevelsAreSubtotals="1" fieldPosition="0">
        <references count="1">
          <reference field="1" count="1">
            <x v="12"/>
          </reference>
        </references>
      </pivotArea>
    </format>
    <format dxfId="89">
      <pivotArea collapsedLevelsAreSubtotals="1" fieldPosition="0">
        <references count="1">
          <reference field="1" count="1">
            <x v="13"/>
          </reference>
        </references>
      </pivotArea>
    </format>
    <format dxfId="88">
      <pivotArea collapsedLevelsAreSubtotals="1" fieldPosition="0">
        <references count="1">
          <reference field="1" count="1">
            <x v="14"/>
          </reference>
        </references>
      </pivotArea>
    </format>
    <format dxfId="87">
      <pivotArea type="origin" dataOnly="0" labelOnly="1" outline="0" fieldPosition="0"/>
    </format>
    <format dxfId="86">
      <pivotArea field="7" type="button" dataOnly="0" labelOnly="1" outline="0" axis="axisCol" fieldPosition="0"/>
    </format>
    <format dxfId="85">
      <pivotArea type="topRight" dataOnly="0" labelOnly="1" outline="0" fieldPosition="0"/>
    </format>
    <format dxfId="84">
      <pivotArea field="1" type="button" dataOnly="0" labelOnly="1" outline="0" axis="axisRow" fieldPosition="0"/>
    </format>
    <format dxfId="83">
      <pivotArea dataOnly="0" labelOnly="1" fieldPosition="0">
        <references count="1">
          <reference field="1" count="0"/>
        </references>
      </pivotArea>
    </format>
    <format dxfId="82">
      <pivotArea dataOnly="0" labelOnly="1" grandCol="1" outline="0" fieldPosition="0"/>
    </format>
    <format dxfId="81">
      <pivotArea type="all" dataOnly="0" outline="0" fieldPosition="0"/>
    </format>
    <format dxfId="80">
      <pivotArea outline="0" collapsedLevelsAreSubtotals="1" fieldPosition="0"/>
    </format>
    <format dxfId="79">
      <pivotArea type="origin" dataOnly="0" labelOnly="1" outline="0" fieldPosition="0"/>
    </format>
    <format dxfId="78">
      <pivotArea field="7" type="button" dataOnly="0" labelOnly="1" outline="0" axis="axisCol" fieldPosition="0"/>
    </format>
    <format dxfId="77">
      <pivotArea type="topRight" dataOnly="0" labelOnly="1" outline="0" fieldPosition="0"/>
    </format>
    <format dxfId="76">
      <pivotArea field="1" type="button" dataOnly="0" labelOnly="1" outline="0" axis="axisRow" fieldPosition="0"/>
    </format>
    <format dxfId="75">
      <pivotArea dataOnly="0" labelOnly="1" fieldPosition="0">
        <references count="1">
          <reference field="1" count="0"/>
        </references>
      </pivotArea>
    </format>
    <format dxfId="74">
      <pivotArea dataOnly="0" labelOnly="1" fieldPosition="0">
        <references count="2">
          <reference field="1" count="1" selected="0">
            <x v="0"/>
          </reference>
          <reference field="3" count="0"/>
        </references>
      </pivotArea>
    </format>
    <format dxfId="73">
      <pivotArea dataOnly="0" labelOnly="1" fieldPosition="0">
        <references count="2">
          <reference field="1" count="1" selected="0">
            <x v="1"/>
          </reference>
          <reference field="3" count="5">
            <x v="0"/>
            <x v="1"/>
            <x v="3"/>
            <x v="4"/>
            <x v="5"/>
          </reference>
        </references>
      </pivotArea>
    </format>
    <format dxfId="72">
      <pivotArea dataOnly="0" labelOnly="1" fieldPosition="0">
        <references count="2">
          <reference field="1" count="1" selected="0">
            <x v="2"/>
          </reference>
          <reference field="3" count="0"/>
        </references>
      </pivotArea>
    </format>
    <format dxfId="71">
      <pivotArea dataOnly="0" labelOnly="1" fieldPosition="0">
        <references count="2">
          <reference field="1" count="1" selected="0">
            <x v="3"/>
          </reference>
          <reference field="3" count="5">
            <x v="0"/>
            <x v="2"/>
            <x v="3"/>
            <x v="4"/>
            <x v="5"/>
          </reference>
        </references>
      </pivotArea>
    </format>
    <format dxfId="70">
      <pivotArea dataOnly="0" labelOnly="1" fieldPosition="0">
        <references count="2">
          <reference field="1" count="1" selected="0">
            <x v="4"/>
          </reference>
          <reference field="3" count="5">
            <x v="1"/>
            <x v="2"/>
            <x v="3"/>
            <x v="4"/>
            <x v="5"/>
          </reference>
        </references>
      </pivotArea>
    </format>
    <format dxfId="69">
      <pivotArea dataOnly="0" labelOnly="1" fieldPosition="0">
        <references count="2">
          <reference field="1" count="1" selected="0">
            <x v="5"/>
          </reference>
          <reference field="3" count="5">
            <x v="0"/>
            <x v="2"/>
            <x v="3"/>
            <x v="4"/>
            <x v="5"/>
          </reference>
        </references>
      </pivotArea>
    </format>
    <format dxfId="68">
      <pivotArea dataOnly="0" labelOnly="1" fieldPosition="0">
        <references count="2">
          <reference field="1" count="1" selected="0">
            <x v="6"/>
          </reference>
          <reference field="3" count="5">
            <x v="0"/>
            <x v="1"/>
            <x v="2"/>
            <x v="3"/>
            <x v="4"/>
          </reference>
        </references>
      </pivotArea>
    </format>
    <format dxfId="67">
      <pivotArea dataOnly="0" labelOnly="1" fieldPosition="0">
        <references count="2">
          <reference field="1" count="1" selected="0">
            <x v="7"/>
          </reference>
          <reference field="3" count="5">
            <x v="0"/>
            <x v="1"/>
            <x v="3"/>
            <x v="4"/>
            <x v="5"/>
          </reference>
        </references>
      </pivotArea>
    </format>
    <format dxfId="66">
      <pivotArea dataOnly="0" labelOnly="1" fieldPosition="0">
        <references count="2">
          <reference field="1" count="1" selected="0">
            <x v="8"/>
          </reference>
          <reference field="3" count="5">
            <x v="0"/>
            <x v="1"/>
            <x v="2"/>
            <x v="3"/>
            <x v="5"/>
          </reference>
        </references>
      </pivotArea>
    </format>
    <format dxfId="65">
      <pivotArea dataOnly="0" labelOnly="1" fieldPosition="0">
        <references count="2">
          <reference field="1" count="1" selected="0">
            <x v="9"/>
          </reference>
          <reference field="3" count="5">
            <x v="0"/>
            <x v="1"/>
            <x v="3"/>
            <x v="4"/>
            <x v="5"/>
          </reference>
        </references>
      </pivotArea>
    </format>
    <format dxfId="64">
      <pivotArea dataOnly="0" labelOnly="1" fieldPosition="0">
        <references count="2">
          <reference field="1" count="1" selected="0">
            <x v="10"/>
          </reference>
          <reference field="3" count="0"/>
        </references>
      </pivotArea>
    </format>
    <format dxfId="63">
      <pivotArea dataOnly="0" labelOnly="1" fieldPosition="0">
        <references count="2">
          <reference field="1" count="1" selected="0">
            <x v="11"/>
          </reference>
          <reference field="3" count="5">
            <x v="0"/>
            <x v="2"/>
            <x v="3"/>
            <x v="4"/>
            <x v="5"/>
          </reference>
        </references>
      </pivotArea>
    </format>
    <format dxfId="62">
      <pivotArea dataOnly="0" labelOnly="1" fieldPosition="0">
        <references count="2">
          <reference field="1" count="1" selected="0">
            <x v="12"/>
          </reference>
          <reference field="3" count="0"/>
        </references>
      </pivotArea>
    </format>
    <format dxfId="61">
      <pivotArea dataOnly="0" labelOnly="1" fieldPosition="0">
        <references count="2">
          <reference field="1" count="1" selected="0">
            <x v="13"/>
          </reference>
          <reference field="3" count="0"/>
        </references>
      </pivotArea>
    </format>
    <format dxfId="60">
      <pivotArea dataOnly="0" labelOnly="1" fieldPosition="0">
        <references count="2">
          <reference field="1" count="1" selected="0">
            <x v="14"/>
          </reference>
          <reference field="3" count="5">
            <x v="0"/>
            <x v="1"/>
            <x v="2"/>
            <x v="3"/>
            <x v="5"/>
          </reference>
        </references>
      </pivotArea>
    </format>
    <format dxfId="59">
      <pivotArea dataOnly="0" labelOnly="1" fieldPosition="0">
        <references count="1">
          <reference field="7" count="0"/>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_Name" xr10:uid="{9D7103D4-8CB2-44FE-B6DD-9D0A28562663}" sourceName="Vendor_Name">
  <pivotTables>
    <pivotTable tabId="10" name="Estimates"/>
  </pivotTables>
  <data>
    <tabular pivotCacheId="288039514">
      <items count="15">
        <i x="1" s="1"/>
        <i x="8" s="1"/>
        <i x="11" s="1"/>
        <i x="14" s="1"/>
        <i x="2" s="1"/>
        <i x="10" s="1"/>
        <i x="7" s="1"/>
        <i x="4" s="1"/>
        <i x="3" s="1"/>
        <i x="6" s="1"/>
        <i x="9" s="1"/>
        <i x="0" s="1"/>
        <i x="13" s="1"/>
        <i x="5"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_Name1" xr10:uid="{C094D5C9-CCE5-40AD-9BE0-2F52ABA2FA16}" sourceName="Vendor_Name">
  <pivotTables>
    <pivotTable tabId="16" name="PivotTable8"/>
  </pivotTables>
  <data>
    <tabular pivotCacheId="1166613757">
      <items count="15">
        <i x="0" s="1"/>
        <i x="5" s="1"/>
        <i x="3" s="1"/>
        <i x="6" s="1"/>
        <i x="9" s="1"/>
        <i x="14" s="1"/>
        <i x="13" s="1"/>
        <i x="7" s="1"/>
        <i x="8" s="1"/>
        <i x="2" s="1"/>
        <i x="4" s="1"/>
        <i x="10" s="1"/>
        <i x="11" s="1"/>
        <i x="1"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92D8274-849D-4984-A722-0871CC9697C5}" sourceName="Department">
  <pivotTables>
    <pivotTable tabId="18" name="PivotTable1"/>
  </pivotTables>
  <data>
    <tabular pivotCacheId="1975234905">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_Name" xr10:uid="{2DACCA5D-1094-4622-A168-B157414E235D}" cache="Slicer_Vendor_Name" caption="Vendor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_Name 1" xr10:uid="{42EF05C2-30FE-4F60-9557-0F63E7754D46}" cache="Slicer_Vendor_Name1" caption="Vendor_Nam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27C0568-E313-4E6E-BB83-35332D7F048B}" cache="Slicer_Department" caption="Depart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BB7E7-C65D-4C91-901C-95AB9AB2D175}">
  <dimension ref="A1:F81"/>
  <sheetViews>
    <sheetView topLeftCell="B1" workbookViewId="0">
      <selection sqref="A1:A1048576"/>
    </sheetView>
  </sheetViews>
  <sheetFormatPr defaultRowHeight="14.4" x14ac:dyDescent="0.3"/>
  <cols>
    <col min="1" max="1" width="13.6640625" style="5" hidden="1" customWidth="1"/>
    <col min="2" max="2" width="22.109375" style="5" bestFit="1" customWidth="1"/>
    <col min="3" max="3" width="13.109375" style="5" bestFit="1" customWidth="1"/>
    <col min="4" max="4" width="14.6640625" style="5" bestFit="1" customWidth="1"/>
    <col min="5" max="5" width="19.77734375" style="5" bestFit="1" customWidth="1"/>
    <col min="6" max="6" width="24.21875" style="6" bestFit="1" customWidth="1"/>
  </cols>
  <sheetData>
    <row r="1" spans="1:6" ht="17.399999999999999" x14ac:dyDescent="0.3">
      <c r="A1" s="7" t="s">
        <v>1</v>
      </c>
      <c r="B1" s="7" t="s">
        <v>2</v>
      </c>
      <c r="C1" s="7" t="s">
        <v>3</v>
      </c>
      <c r="D1" s="7" t="s">
        <v>4</v>
      </c>
      <c r="E1" s="7" t="s">
        <v>59</v>
      </c>
      <c r="F1" s="8" t="s">
        <v>62</v>
      </c>
    </row>
    <row r="2" spans="1:6" x14ac:dyDescent="0.3">
      <c r="A2" s="3" t="s">
        <v>19</v>
      </c>
      <c r="B2" s="3" t="s">
        <v>20</v>
      </c>
      <c r="C2" s="3" t="s">
        <v>21</v>
      </c>
      <c r="D2" s="3" t="s">
        <v>49</v>
      </c>
      <c r="E2" s="3">
        <v>3</v>
      </c>
      <c r="F2" s="4">
        <v>5972657.1500000004</v>
      </c>
    </row>
    <row r="3" spans="1:6" x14ac:dyDescent="0.3">
      <c r="A3" s="3" t="s">
        <v>19</v>
      </c>
      <c r="B3" s="3" t="s">
        <v>20</v>
      </c>
      <c r="C3" s="3" t="s">
        <v>21</v>
      </c>
      <c r="D3" s="3" t="s">
        <v>39</v>
      </c>
      <c r="E3" s="3">
        <v>3</v>
      </c>
      <c r="F3" s="4">
        <v>7654028.0099999998</v>
      </c>
    </row>
    <row r="4" spans="1:6" x14ac:dyDescent="0.3">
      <c r="A4" s="3" t="s">
        <v>19</v>
      </c>
      <c r="B4" s="3" t="s">
        <v>20</v>
      </c>
      <c r="C4" s="3" t="s">
        <v>21</v>
      </c>
      <c r="D4" s="3" t="s">
        <v>26</v>
      </c>
      <c r="E4" s="3">
        <v>1</v>
      </c>
      <c r="F4" s="4">
        <v>1866152.28</v>
      </c>
    </row>
    <row r="5" spans="1:6" x14ac:dyDescent="0.3">
      <c r="A5" s="3" t="s">
        <v>19</v>
      </c>
      <c r="B5" s="3" t="s">
        <v>20</v>
      </c>
      <c r="C5" s="3" t="s">
        <v>21</v>
      </c>
      <c r="D5" s="3" t="s">
        <v>22</v>
      </c>
      <c r="E5" s="3">
        <v>2</v>
      </c>
      <c r="F5" s="4">
        <v>2419546.69</v>
      </c>
    </row>
    <row r="6" spans="1:6" x14ac:dyDescent="0.3">
      <c r="A6" s="3" t="s">
        <v>19</v>
      </c>
      <c r="B6" s="3" t="s">
        <v>20</v>
      </c>
      <c r="C6" s="3" t="s">
        <v>21</v>
      </c>
      <c r="D6" s="3" t="s">
        <v>12</v>
      </c>
      <c r="E6" s="3">
        <v>3</v>
      </c>
      <c r="F6" s="4">
        <v>4616515.47</v>
      </c>
    </row>
    <row r="7" spans="1:6" x14ac:dyDescent="0.3">
      <c r="A7" s="3" t="s">
        <v>14</v>
      </c>
      <c r="B7" s="3" t="s">
        <v>15</v>
      </c>
      <c r="C7" s="3" t="s">
        <v>16</v>
      </c>
      <c r="D7" s="3" t="s">
        <v>49</v>
      </c>
      <c r="E7" s="3">
        <v>2</v>
      </c>
      <c r="F7" s="4">
        <v>3632668.18</v>
      </c>
    </row>
    <row r="8" spans="1:6" x14ac:dyDescent="0.3">
      <c r="A8" s="3" t="s">
        <v>14</v>
      </c>
      <c r="B8" s="3" t="s">
        <v>15</v>
      </c>
      <c r="C8" s="3" t="s">
        <v>16</v>
      </c>
      <c r="D8" s="3" t="s">
        <v>17</v>
      </c>
      <c r="E8" s="3">
        <v>2</v>
      </c>
      <c r="F8" s="4">
        <v>681831.5</v>
      </c>
    </row>
    <row r="9" spans="1:6" x14ac:dyDescent="0.3">
      <c r="A9" s="3" t="s">
        <v>14</v>
      </c>
      <c r="B9" s="3" t="s">
        <v>15</v>
      </c>
      <c r="C9" s="3" t="s">
        <v>16</v>
      </c>
      <c r="D9" s="3" t="s">
        <v>39</v>
      </c>
      <c r="E9" s="3">
        <v>4</v>
      </c>
      <c r="F9" s="4">
        <v>9672543.4800000004</v>
      </c>
    </row>
    <row r="10" spans="1:6" x14ac:dyDescent="0.3">
      <c r="A10" s="3" t="s">
        <v>14</v>
      </c>
      <c r="B10" s="3" t="s">
        <v>15</v>
      </c>
      <c r="C10" s="3" t="s">
        <v>16</v>
      </c>
      <c r="D10" s="3" t="s">
        <v>26</v>
      </c>
      <c r="E10" s="3">
        <v>3</v>
      </c>
      <c r="F10" s="4">
        <v>6939763.0099999998</v>
      </c>
    </row>
    <row r="11" spans="1:6" x14ac:dyDescent="0.3">
      <c r="A11" s="3" t="s">
        <v>14</v>
      </c>
      <c r="B11" s="3" t="s">
        <v>15</v>
      </c>
      <c r="C11" s="3" t="s">
        <v>16</v>
      </c>
      <c r="D11" s="3" t="s">
        <v>22</v>
      </c>
      <c r="E11" s="3">
        <v>4</v>
      </c>
      <c r="F11" s="4">
        <v>12839955.039999999</v>
      </c>
    </row>
    <row r="12" spans="1:6" x14ac:dyDescent="0.3">
      <c r="A12" s="3" t="s">
        <v>14</v>
      </c>
      <c r="B12" s="3" t="s">
        <v>15</v>
      </c>
      <c r="C12" s="3" t="s">
        <v>16</v>
      </c>
      <c r="D12" s="3" t="s">
        <v>12</v>
      </c>
      <c r="E12" s="3">
        <v>3</v>
      </c>
      <c r="F12" s="4">
        <v>6842341.8600000003</v>
      </c>
    </row>
    <row r="13" spans="1:6" x14ac:dyDescent="0.3">
      <c r="A13" s="3" t="s">
        <v>34</v>
      </c>
      <c r="B13" s="3" t="s">
        <v>35</v>
      </c>
      <c r="C13" s="3" t="s">
        <v>36</v>
      </c>
      <c r="D13" s="3" t="s">
        <v>17</v>
      </c>
      <c r="E13" s="3">
        <v>1</v>
      </c>
      <c r="F13" s="4">
        <v>1327201.3400000001</v>
      </c>
    </row>
    <row r="14" spans="1:6" x14ac:dyDescent="0.3">
      <c r="A14" s="3" t="s">
        <v>34</v>
      </c>
      <c r="B14" s="3" t="s">
        <v>35</v>
      </c>
      <c r="C14" s="3" t="s">
        <v>36</v>
      </c>
      <c r="D14" s="3" t="s">
        <v>39</v>
      </c>
      <c r="E14" s="3">
        <v>2</v>
      </c>
      <c r="F14" s="4">
        <v>5038728.45</v>
      </c>
    </row>
    <row r="15" spans="1:6" x14ac:dyDescent="0.3">
      <c r="A15" s="3" t="s">
        <v>34</v>
      </c>
      <c r="B15" s="3" t="s">
        <v>35</v>
      </c>
      <c r="C15" s="3" t="s">
        <v>36</v>
      </c>
      <c r="D15" s="3" t="s">
        <v>26</v>
      </c>
      <c r="E15" s="3">
        <v>3</v>
      </c>
      <c r="F15" s="4">
        <v>6884580.6799999997</v>
      </c>
    </row>
    <row r="16" spans="1:6" x14ac:dyDescent="0.3">
      <c r="A16" s="3" t="s">
        <v>34</v>
      </c>
      <c r="B16" s="3" t="s">
        <v>35</v>
      </c>
      <c r="C16" s="3" t="s">
        <v>36</v>
      </c>
      <c r="D16" s="3" t="s">
        <v>22</v>
      </c>
      <c r="E16" s="3">
        <v>3</v>
      </c>
      <c r="F16" s="4">
        <v>3285831.21999999</v>
      </c>
    </row>
    <row r="17" spans="1:6" x14ac:dyDescent="0.3">
      <c r="A17" s="3" t="s">
        <v>34</v>
      </c>
      <c r="B17" s="3" t="s">
        <v>35</v>
      </c>
      <c r="C17" s="3" t="s">
        <v>36</v>
      </c>
      <c r="D17" s="3" t="s">
        <v>12</v>
      </c>
      <c r="E17" s="3">
        <v>3</v>
      </c>
      <c r="F17" s="4">
        <v>9796143.6799999997</v>
      </c>
    </row>
    <row r="18" spans="1:6" x14ac:dyDescent="0.3">
      <c r="A18" s="3" t="s">
        <v>47</v>
      </c>
      <c r="B18" s="3" t="s">
        <v>48</v>
      </c>
      <c r="C18" s="3" t="s">
        <v>42</v>
      </c>
      <c r="D18" s="3" t="s">
        <v>49</v>
      </c>
      <c r="E18" s="3">
        <v>3</v>
      </c>
      <c r="F18" s="4">
        <v>3508248.08</v>
      </c>
    </row>
    <row r="19" spans="1:6" x14ac:dyDescent="0.3">
      <c r="A19" s="3" t="s">
        <v>47</v>
      </c>
      <c r="B19" s="3" t="s">
        <v>48</v>
      </c>
      <c r="C19" s="3" t="s">
        <v>42</v>
      </c>
      <c r="D19" s="3" t="s">
        <v>17</v>
      </c>
      <c r="E19" s="3">
        <v>6</v>
      </c>
      <c r="F19" s="4">
        <v>15127561.77</v>
      </c>
    </row>
    <row r="20" spans="1:6" x14ac:dyDescent="0.3">
      <c r="A20" s="3" t="s">
        <v>47</v>
      </c>
      <c r="B20" s="3" t="s">
        <v>48</v>
      </c>
      <c r="C20" s="3" t="s">
        <v>42</v>
      </c>
      <c r="D20" s="3" t="s">
        <v>39</v>
      </c>
      <c r="E20" s="3">
        <v>2</v>
      </c>
      <c r="F20" s="4">
        <v>819372.77</v>
      </c>
    </row>
    <row r="21" spans="1:6" x14ac:dyDescent="0.3">
      <c r="A21" s="3" t="s">
        <v>47</v>
      </c>
      <c r="B21" s="3" t="s">
        <v>48</v>
      </c>
      <c r="C21" s="3" t="s">
        <v>42</v>
      </c>
      <c r="D21" s="3" t="s">
        <v>26</v>
      </c>
      <c r="E21" s="3">
        <v>2</v>
      </c>
      <c r="F21" s="4">
        <v>3826905.1399999899</v>
      </c>
    </row>
    <row r="22" spans="1:6" x14ac:dyDescent="0.3">
      <c r="A22" s="3" t="s">
        <v>47</v>
      </c>
      <c r="B22" s="3" t="s">
        <v>48</v>
      </c>
      <c r="C22" s="3" t="s">
        <v>42</v>
      </c>
      <c r="D22" s="3" t="s">
        <v>12</v>
      </c>
      <c r="E22" s="3">
        <v>2</v>
      </c>
      <c r="F22" s="4">
        <v>3722507.74</v>
      </c>
    </row>
    <row r="23" spans="1:6" x14ac:dyDescent="0.3">
      <c r="A23" s="3" t="s">
        <v>37</v>
      </c>
      <c r="B23" s="3" t="s">
        <v>38</v>
      </c>
      <c r="C23" s="3" t="s">
        <v>21</v>
      </c>
      <c r="D23" s="3" t="s">
        <v>49</v>
      </c>
      <c r="E23" s="3">
        <v>3</v>
      </c>
      <c r="F23" s="4">
        <v>2843401.88</v>
      </c>
    </row>
    <row r="24" spans="1:6" x14ac:dyDescent="0.3">
      <c r="A24" s="3" t="s">
        <v>37</v>
      </c>
      <c r="B24" s="3" t="s">
        <v>38</v>
      </c>
      <c r="C24" s="3" t="s">
        <v>21</v>
      </c>
      <c r="D24" s="3" t="s">
        <v>17</v>
      </c>
      <c r="E24" s="3">
        <v>1</v>
      </c>
      <c r="F24" s="4">
        <v>492701</v>
      </c>
    </row>
    <row r="25" spans="1:6" x14ac:dyDescent="0.3">
      <c r="A25" s="3" t="s">
        <v>37</v>
      </c>
      <c r="B25" s="3" t="s">
        <v>38</v>
      </c>
      <c r="C25" s="3" t="s">
        <v>21</v>
      </c>
      <c r="D25" s="3" t="s">
        <v>26</v>
      </c>
      <c r="E25" s="3">
        <v>1</v>
      </c>
      <c r="F25" s="4">
        <v>858136.76</v>
      </c>
    </row>
    <row r="26" spans="1:6" x14ac:dyDescent="0.3">
      <c r="A26" s="3" t="s">
        <v>37</v>
      </c>
      <c r="B26" s="3" t="s">
        <v>38</v>
      </c>
      <c r="C26" s="3" t="s">
        <v>21</v>
      </c>
      <c r="D26" s="3" t="s">
        <v>22</v>
      </c>
      <c r="E26" s="3">
        <v>7</v>
      </c>
      <c r="F26" s="4">
        <v>18551870.079999998</v>
      </c>
    </row>
    <row r="27" spans="1:6" x14ac:dyDescent="0.3">
      <c r="A27" s="3" t="s">
        <v>37</v>
      </c>
      <c r="B27" s="3" t="s">
        <v>38</v>
      </c>
      <c r="C27" s="3" t="s">
        <v>21</v>
      </c>
      <c r="D27" s="3" t="s">
        <v>12</v>
      </c>
      <c r="E27" s="3">
        <v>2</v>
      </c>
      <c r="F27" s="4">
        <v>4856779.96</v>
      </c>
    </row>
    <row r="28" spans="1:6" x14ac:dyDescent="0.3">
      <c r="A28" s="3" t="s">
        <v>45</v>
      </c>
      <c r="B28" s="3" t="s">
        <v>46</v>
      </c>
      <c r="C28" s="3" t="s">
        <v>36</v>
      </c>
      <c r="D28" s="3" t="s">
        <v>49</v>
      </c>
      <c r="E28" s="3">
        <v>2</v>
      </c>
      <c r="F28" s="4">
        <v>6072564.3199999901</v>
      </c>
    </row>
    <row r="29" spans="1:6" x14ac:dyDescent="0.3">
      <c r="A29" s="3" t="s">
        <v>45</v>
      </c>
      <c r="B29" s="3" t="s">
        <v>46</v>
      </c>
      <c r="C29" s="3" t="s">
        <v>36</v>
      </c>
      <c r="D29" s="3" t="s">
        <v>17</v>
      </c>
      <c r="E29" s="3">
        <v>5</v>
      </c>
      <c r="F29" s="4">
        <v>7922665.8499999996</v>
      </c>
    </row>
    <row r="30" spans="1:6" x14ac:dyDescent="0.3">
      <c r="A30" s="3" t="s">
        <v>45</v>
      </c>
      <c r="B30" s="3" t="s">
        <v>46</v>
      </c>
      <c r="C30" s="3" t="s">
        <v>36</v>
      </c>
      <c r="D30" s="3" t="s">
        <v>39</v>
      </c>
      <c r="E30" s="3">
        <v>2</v>
      </c>
      <c r="F30" s="4">
        <v>12533599.25</v>
      </c>
    </row>
    <row r="31" spans="1:6" x14ac:dyDescent="0.3">
      <c r="A31" s="3" t="s">
        <v>45</v>
      </c>
      <c r="B31" s="3" t="s">
        <v>46</v>
      </c>
      <c r="C31" s="3" t="s">
        <v>36</v>
      </c>
      <c r="D31" s="3" t="s">
        <v>26</v>
      </c>
      <c r="E31" s="3">
        <v>2</v>
      </c>
      <c r="F31" s="4">
        <v>734827.58</v>
      </c>
    </row>
    <row r="32" spans="1:6" x14ac:dyDescent="0.3">
      <c r="A32" s="3" t="s">
        <v>45</v>
      </c>
      <c r="B32" s="3" t="s">
        <v>46</v>
      </c>
      <c r="C32" s="3" t="s">
        <v>36</v>
      </c>
      <c r="D32" s="3" t="s">
        <v>22</v>
      </c>
      <c r="E32" s="3">
        <v>1</v>
      </c>
      <c r="F32" s="4">
        <v>2522028.31</v>
      </c>
    </row>
    <row r="33" spans="1:6" x14ac:dyDescent="0.3">
      <c r="A33" s="3" t="s">
        <v>45</v>
      </c>
      <c r="B33" s="3" t="s">
        <v>46</v>
      </c>
      <c r="C33" s="3" t="s">
        <v>36</v>
      </c>
      <c r="D33" s="3" t="s">
        <v>12</v>
      </c>
      <c r="E33" s="3">
        <v>1</v>
      </c>
      <c r="F33" s="4">
        <v>3471082.13</v>
      </c>
    </row>
    <row r="34" spans="1:6" x14ac:dyDescent="0.3">
      <c r="A34" s="3" t="s">
        <v>40</v>
      </c>
      <c r="B34" s="3" t="s">
        <v>41</v>
      </c>
      <c r="C34" s="3" t="s">
        <v>42</v>
      </c>
      <c r="D34" s="3" t="s">
        <v>49</v>
      </c>
      <c r="E34" s="3">
        <v>3</v>
      </c>
      <c r="F34" s="4">
        <v>5122771.79</v>
      </c>
    </row>
    <row r="35" spans="1:6" x14ac:dyDescent="0.3">
      <c r="A35" s="3" t="s">
        <v>40</v>
      </c>
      <c r="B35" s="3" t="s">
        <v>41</v>
      </c>
      <c r="C35" s="3" t="s">
        <v>42</v>
      </c>
      <c r="D35" s="3" t="s">
        <v>17</v>
      </c>
      <c r="E35" s="3">
        <v>3</v>
      </c>
      <c r="F35" s="4">
        <v>9337155.5299999993</v>
      </c>
    </row>
    <row r="36" spans="1:6" x14ac:dyDescent="0.3">
      <c r="A36" s="3" t="s">
        <v>40</v>
      </c>
      <c r="B36" s="3" t="s">
        <v>41</v>
      </c>
      <c r="C36" s="3" t="s">
        <v>42</v>
      </c>
      <c r="D36" s="3" t="s">
        <v>26</v>
      </c>
      <c r="E36" s="3">
        <v>5</v>
      </c>
      <c r="F36" s="4">
        <v>10061509.41</v>
      </c>
    </row>
    <row r="37" spans="1:6" x14ac:dyDescent="0.3">
      <c r="A37" s="3" t="s">
        <v>40</v>
      </c>
      <c r="B37" s="3" t="s">
        <v>41</v>
      </c>
      <c r="C37" s="3" t="s">
        <v>42</v>
      </c>
      <c r="D37" s="3" t="s">
        <v>22</v>
      </c>
      <c r="E37" s="3">
        <v>2</v>
      </c>
      <c r="F37" s="4">
        <v>1898189.21</v>
      </c>
    </row>
    <row r="38" spans="1:6" x14ac:dyDescent="0.3">
      <c r="A38" s="3" t="s">
        <v>40</v>
      </c>
      <c r="B38" s="3" t="s">
        <v>41</v>
      </c>
      <c r="C38" s="3" t="s">
        <v>42</v>
      </c>
      <c r="D38" s="3" t="s">
        <v>12</v>
      </c>
      <c r="E38" s="3">
        <v>4</v>
      </c>
      <c r="F38" s="4">
        <v>5992804.9100000001</v>
      </c>
    </row>
    <row r="39" spans="1:6" x14ac:dyDescent="0.3">
      <c r="A39" s="3" t="s">
        <v>29</v>
      </c>
      <c r="B39" s="3" t="s">
        <v>30</v>
      </c>
      <c r="C39" s="3" t="s">
        <v>16</v>
      </c>
      <c r="D39" s="3" t="s">
        <v>49</v>
      </c>
      <c r="E39" s="3">
        <v>2</v>
      </c>
      <c r="F39" s="4">
        <v>5018273</v>
      </c>
    </row>
    <row r="40" spans="1:6" x14ac:dyDescent="0.3">
      <c r="A40" s="3" t="s">
        <v>29</v>
      </c>
      <c r="B40" s="3" t="s">
        <v>30</v>
      </c>
      <c r="C40" s="3" t="s">
        <v>16</v>
      </c>
      <c r="D40" s="3" t="s">
        <v>17</v>
      </c>
      <c r="E40" s="3">
        <v>1</v>
      </c>
      <c r="F40" s="4">
        <v>3407768.82</v>
      </c>
    </row>
    <row r="41" spans="1:6" x14ac:dyDescent="0.3">
      <c r="A41" s="3" t="s">
        <v>29</v>
      </c>
      <c r="B41" s="3" t="s">
        <v>30</v>
      </c>
      <c r="C41" s="3" t="s">
        <v>16</v>
      </c>
      <c r="D41" s="3" t="s">
        <v>39</v>
      </c>
      <c r="E41" s="3">
        <v>1</v>
      </c>
      <c r="F41" s="4">
        <v>2649568.52</v>
      </c>
    </row>
    <row r="42" spans="1:6" x14ac:dyDescent="0.3">
      <c r="A42" s="3" t="s">
        <v>29</v>
      </c>
      <c r="B42" s="3" t="s">
        <v>30</v>
      </c>
      <c r="C42" s="3" t="s">
        <v>16</v>
      </c>
      <c r="D42" s="3" t="s">
        <v>26</v>
      </c>
      <c r="E42" s="3">
        <v>2</v>
      </c>
      <c r="F42" s="4">
        <v>6507183.6200000001</v>
      </c>
    </row>
    <row r="43" spans="1:6" x14ac:dyDescent="0.3">
      <c r="A43" s="3" t="s">
        <v>29</v>
      </c>
      <c r="B43" s="3" t="s">
        <v>30</v>
      </c>
      <c r="C43" s="3" t="s">
        <v>16</v>
      </c>
      <c r="D43" s="3" t="s">
        <v>22</v>
      </c>
      <c r="E43" s="3">
        <v>2</v>
      </c>
      <c r="F43" s="4">
        <v>2119435.42</v>
      </c>
    </row>
    <row r="44" spans="1:6" x14ac:dyDescent="0.3">
      <c r="A44" s="3" t="s">
        <v>23</v>
      </c>
      <c r="B44" s="3" t="s">
        <v>24</v>
      </c>
      <c r="C44" s="3" t="s">
        <v>25</v>
      </c>
      <c r="D44" s="3" t="s">
        <v>49</v>
      </c>
      <c r="E44" s="3">
        <v>1</v>
      </c>
      <c r="F44" s="4">
        <v>730153.44</v>
      </c>
    </row>
    <row r="45" spans="1:6" x14ac:dyDescent="0.3">
      <c r="A45" s="3" t="s">
        <v>23</v>
      </c>
      <c r="B45" s="3" t="s">
        <v>24</v>
      </c>
      <c r="C45" s="3" t="s">
        <v>25</v>
      </c>
      <c r="D45" s="3" t="s">
        <v>17</v>
      </c>
      <c r="E45" s="3">
        <v>3</v>
      </c>
      <c r="F45" s="4">
        <v>944930.11999999895</v>
      </c>
    </row>
    <row r="46" spans="1:6" x14ac:dyDescent="0.3">
      <c r="A46" s="3" t="s">
        <v>23</v>
      </c>
      <c r="B46" s="3" t="s">
        <v>24</v>
      </c>
      <c r="C46" s="3" t="s">
        <v>25</v>
      </c>
      <c r="D46" s="3" t="s">
        <v>26</v>
      </c>
      <c r="E46" s="3">
        <v>5</v>
      </c>
      <c r="F46" s="4">
        <v>8384633</v>
      </c>
    </row>
    <row r="47" spans="1:6" x14ac:dyDescent="0.3">
      <c r="A47" s="3" t="s">
        <v>23</v>
      </c>
      <c r="B47" s="3" t="s">
        <v>24</v>
      </c>
      <c r="C47" s="3" t="s">
        <v>25</v>
      </c>
      <c r="D47" s="3" t="s">
        <v>22</v>
      </c>
      <c r="E47" s="3">
        <v>6</v>
      </c>
      <c r="F47" s="4">
        <v>7588150.1500000004</v>
      </c>
    </row>
    <row r="48" spans="1:6" x14ac:dyDescent="0.3">
      <c r="A48" s="3" t="s">
        <v>23</v>
      </c>
      <c r="B48" s="3" t="s">
        <v>24</v>
      </c>
      <c r="C48" s="3" t="s">
        <v>25</v>
      </c>
      <c r="D48" s="3" t="s">
        <v>12</v>
      </c>
      <c r="E48" s="3">
        <v>4</v>
      </c>
      <c r="F48" s="4">
        <v>11054401.539999999</v>
      </c>
    </row>
    <row r="49" spans="1:6" x14ac:dyDescent="0.3">
      <c r="A49" s="3" t="s">
        <v>43</v>
      </c>
      <c r="B49" s="3" t="s">
        <v>44</v>
      </c>
      <c r="C49" s="3" t="s">
        <v>21</v>
      </c>
      <c r="D49" s="3" t="s">
        <v>49</v>
      </c>
      <c r="E49" s="3">
        <v>4</v>
      </c>
      <c r="F49" s="4">
        <v>3276703.15</v>
      </c>
    </row>
    <row r="50" spans="1:6" x14ac:dyDescent="0.3">
      <c r="A50" s="3" t="s">
        <v>43</v>
      </c>
      <c r="B50" s="3" t="s">
        <v>44</v>
      </c>
      <c r="C50" s="3" t="s">
        <v>21</v>
      </c>
      <c r="D50" s="3" t="s">
        <v>17</v>
      </c>
      <c r="E50" s="3">
        <v>1</v>
      </c>
      <c r="F50" s="4">
        <v>1429987.34</v>
      </c>
    </row>
    <row r="51" spans="1:6" x14ac:dyDescent="0.3">
      <c r="A51" s="3" t="s">
        <v>43</v>
      </c>
      <c r="B51" s="3" t="s">
        <v>44</v>
      </c>
      <c r="C51" s="3" t="s">
        <v>21</v>
      </c>
      <c r="D51" s="3" t="s">
        <v>39</v>
      </c>
      <c r="E51" s="3">
        <v>3</v>
      </c>
      <c r="F51" s="4">
        <v>7109235.7599999998</v>
      </c>
    </row>
    <row r="52" spans="1:6" x14ac:dyDescent="0.3">
      <c r="A52" s="3" t="s">
        <v>43</v>
      </c>
      <c r="B52" s="3" t="s">
        <v>44</v>
      </c>
      <c r="C52" s="3" t="s">
        <v>21</v>
      </c>
      <c r="D52" s="3" t="s">
        <v>26</v>
      </c>
      <c r="E52" s="3">
        <v>2</v>
      </c>
      <c r="F52" s="4">
        <v>4153969.36</v>
      </c>
    </row>
    <row r="53" spans="1:6" x14ac:dyDescent="0.3">
      <c r="A53" s="3" t="s">
        <v>43</v>
      </c>
      <c r="B53" s="3" t="s">
        <v>44</v>
      </c>
      <c r="C53" s="3" t="s">
        <v>21</v>
      </c>
      <c r="D53" s="3" t="s">
        <v>22</v>
      </c>
      <c r="E53" s="3">
        <v>3</v>
      </c>
      <c r="F53" s="4">
        <v>4306200.3499999996</v>
      </c>
    </row>
    <row r="54" spans="1:6" x14ac:dyDescent="0.3">
      <c r="A54" s="3" t="s">
        <v>43</v>
      </c>
      <c r="B54" s="3" t="s">
        <v>44</v>
      </c>
      <c r="C54" s="3" t="s">
        <v>21</v>
      </c>
      <c r="D54" s="3" t="s">
        <v>12</v>
      </c>
      <c r="E54" s="3">
        <v>2</v>
      </c>
      <c r="F54" s="4">
        <v>8446989.5899999999</v>
      </c>
    </row>
    <row r="55" spans="1:6" x14ac:dyDescent="0.3">
      <c r="A55" s="3" t="s">
        <v>9</v>
      </c>
      <c r="B55" s="3" t="s">
        <v>10</v>
      </c>
      <c r="C55" s="3" t="s">
        <v>11</v>
      </c>
      <c r="D55" s="3" t="s">
        <v>49</v>
      </c>
      <c r="E55" s="3">
        <v>3</v>
      </c>
      <c r="F55" s="4">
        <v>2903100.6</v>
      </c>
    </row>
    <row r="56" spans="1:6" x14ac:dyDescent="0.3">
      <c r="A56" s="3" t="s">
        <v>9</v>
      </c>
      <c r="B56" s="3" t="s">
        <v>10</v>
      </c>
      <c r="C56" s="3" t="s">
        <v>11</v>
      </c>
      <c r="D56" s="3" t="s">
        <v>39</v>
      </c>
      <c r="E56" s="3">
        <v>2</v>
      </c>
      <c r="F56" s="4">
        <v>8417257.1600000001</v>
      </c>
    </row>
    <row r="57" spans="1:6" x14ac:dyDescent="0.3">
      <c r="A57" s="3" t="s">
        <v>9</v>
      </c>
      <c r="B57" s="3" t="s">
        <v>10</v>
      </c>
      <c r="C57" s="3" t="s">
        <v>11</v>
      </c>
      <c r="D57" s="3" t="s">
        <v>26</v>
      </c>
      <c r="E57" s="3">
        <v>1</v>
      </c>
      <c r="F57" s="4">
        <v>405915.67</v>
      </c>
    </row>
    <row r="58" spans="1:6" x14ac:dyDescent="0.3">
      <c r="A58" s="3" t="s">
        <v>9</v>
      </c>
      <c r="B58" s="3" t="s">
        <v>10</v>
      </c>
      <c r="C58" s="3" t="s">
        <v>11</v>
      </c>
      <c r="D58" s="3" t="s">
        <v>22</v>
      </c>
      <c r="E58" s="3">
        <v>2</v>
      </c>
      <c r="F58" s="4">
        <v>2149110.1</v>
      </c>
    </row>
    <row r="59" spans="1:6" x14ac:dyDescent="0.3">
      <c r="A59" s="3" t="s">
        <v>9</v>
      </c>
      <c r="B59" s="3" t="s">
        <v>10</v>
      </c>
      <c r="C59" s="3" t="s">
        <v>11</v>
      </c>
      <c r="D59" s="3" t="s">
        <v>12</v>
      </c>
      <c r="E59" s="3">
        <v>2</v>
      </c>
      <c r="F59" s="4">
        <v>534021.41</v>
      </c>
    </row>
    <row r="60" spans="1:6" x14ac:dyDescent="0.3">
      <c r="A60" s="3" t="s">
        <v>32</v>
      </c>
      <c r="B60" s="3" t="s">
        <v>33</v>
      </c>
      <c r="C60" s="3" t="s">
        <v>16</v>
      </c>
      <c r="D60" s="3" t="s">
        <v>49</v>
      </c>
      <c r="E60" s="3">
        <v>1</v>
      </c>
      <c r="F60" s="4">
        <v>6359053.0999999996</v>
      </c>
    </row>
    <row r="61" spans="1:6" x14ac:dyDescent="0.3">
      <c r="A61" s="3" t="s">
        <v>32</v>
      </c>
      <c r="B61" s="3" t="s">
        <v>33</v>
      </c>
      <c r="C61" s="3" t="s">
        <v>16</v>
      </c>
      <c r="D61" s="3" t="s">
        <v>17</v>
      </c>
      <c r="E61" s="3">
        <v>4</v>
      </c>
      <c r="F61" s="4">
        <v>9633136.1199999992</v>
      </c>
    </row>
    <row r="62" spans="1:6" x14ac:dyDescent="0.3">
      <c r="A62" s="3" t="s">
        <v>32</v>
      </c>
      <c r="B62" s="3" t="s">
        <v>33</v>
      </c>
      <c r="C62" s="3" t="s">
        <v>16</v>
      </c>
      <c r="D62" s="3" t="s">
        <v>39</v>
      </c>
      <c r="E62" s="3">
        <v>2</v>
      </c>
      <c r="F62" s="4">
        <v>6118915.2899999898</v>
      </c>
    </row>
    <row r="63" spans="1:6" x14ac:dyDescent="0.3">
      <c r="A63" s="3" t="s">
        <v>32</v>
      </c>
      <c r="B63" s="3" t="s">
        <v>33</v>
      </c>
      <c r="C63" s="3" t="s">
        <v>16</v>
      </c>
      <c r="D63" s="3" t="s">
        <v>26</v>
      </c>
      <c r="E63" s="3">
        <v>3</v>
      </c>
      <c r="F63" s="4">
        <v>3268788.01</v>
      </c>
    </row>
    <row r="64" spans="1:6" x14ac:dyDescent="0.3">
      <c r="A64" s="3" t="s">
        <v>32</v>
      </c>
      <c r="B64" s="3" t="s">
        <v>33</v>
      </c>
      <c r="C64" s="3" t="s">
        <v>16</v>
      </c>
      <c r="D64" s="3" t="s">
        <v>22</v>
      </c>
      <c r="E64" s="3">
        <v>4</v>
      </c>
      <c r="F64" s="4">
        <v>2104090.91</v>
      </c>
    </row>
    <row r="65" spans="1:6" x14ac:dyDescent="0.3">
      <c r="A65" s="3" t="s">
        <v>32</v>
      </c>
      <c r="B65" s="3" t="s">
        <v>33</v>
      </c>
      <c r="C65" s="3" t="s">
        <v>16</v>
      </c>
      <c r="D65" s="3" t="s">
        <v>12</v>
      </c>
      <c r="E65" s="3">
        <v>2</v>
      </c>
      <c r="F65" s="4">
        <v>3738978.6</v>
      </c>
    </row>
    <row r="66" spans="1:6" x14ac:dyDescent="0.3">
      <c r="A66" s="3" t="s">
        <v>50</v>
      </c>
      <c r="B66" s="3" t="s">
        <v>51</v>
      </c>
      <c r="C66" s="3" t="s">
        <v>36</v>
      </c>
      <c r="D66" s="3" t="s">
        <v>49</v>
      </c>
      <c r="E66" s="3">
        <v>3</v>
      </c>
      <c r="F66" s="4">
        <v>5151535.2</v>
      </c>
    </row>
    <row r="67" spans="1:6" x14ac:dyDescent="0.3">
      <c r="A67" s="3" t="s">
        <v>50</v>
      </c>
      <c r="B67" s="3" t="s">
        <v>51</v>
      </c>
      <c r="C67" s="3" t="s">
        <v>36</v>
      </c>
      <c r="D67" s="3" t="s">
        <v>17</v>
      </c>
      <c r="E67" s="3">
        <v>4</v>
      </c>
      <c r="F67" s="4">
        <v>11067386.439999999</v>
      </c>
    </row>
    <row r="68" spans="1:6" x14ac:dyDescent="0.3">
      <c r="A68" s="3" t="s">
        <v>50</v>
      </c>
      <c r="B68" s="3" t="s">
        <v>51</v>
      </c>
      <c r="C68" s="3" t="s">
        <v>36</v>
      </c>
      <c r="D68" s="3" t="s">
        <v>39</v>
      </c>
      <c r="E68" s="3">
        <v>1</v>
      </c>
      <c r="F68" s="4">
        <v>1633949.92</v>
      </c>
    </row>
    <row r="69" spans="1:6" x14ac:dyDescent="0.3">
      <c r="A69" s="3" t="s">
        <v>50</v>
      </c>
      <c r="B69" s="3" t="s">
        <v>51</v>
      </c>
      <c r="C69" s="3" t="s">
        <v>36</v>
      </c>
      <c r="D69" s="3" t="s">
        <v>26</v>
      </c>
      <c r="E69" s="3">
        <v>2</v>
      </c>
      <c r="F69" s="4">
        <v>1767876.3599999901</v>
      </c>
    </row>
    <row r="70" spans="1:6" x14ac:dyDescent="0.3">
      <c r="A70" s="3" t="s">
        <v>50</v>
      </c>
      <c r="B70" s="3" t="s">
        <v>51</v>
      </c>
      <c r="C70" s="3" t="s">
        <v>36</v>
      </c>
      <c r="D70" s="3" t="s">
        <v>12</v>
      </c>
      <c r="E70" s="3">
        <v>1</v>
      </c>
      <c r="F70" s="4">
        <v>1069478.6299999999</v>
      </c>
    </row>
    <row r="71" spans="1:6" x14ac:dyDescent="0.3">
      <c r="A71" s="3" t="s">
        <v>27</v>
      </c>
      <c r="B71" s="3" t="s">
        <v>28</v>
      </c>
      <c r="C71" s="3" t="s">
        <v>21</v>
      </c>
      <c r="D71" s="3" t="s">
        <v>49</v>
      </c>
      <c r="E71" s="3">
        <v>5</v>
      </c>
      <c r="F71" s="4">
        <v>14453246.65</v>
      </c>
    </row>
    <row r="72" spans="1:6" x14ac:dyDescent="0.3">
      <c r="A72" s="3" t="s">
        <v>27</v>
      </c>
      <c r="B72" s="3" t="s">
        <v>28</v>
      </c>
      <c r="C72" s="3" t="s">
        <v>21</v>
      </c>
      <c r="D72" s="3" t="s">
        <v>17</v>
      </c>
      <c r="E72" s="3">
        <v>1</v>
      </c>
      <c r="F72" s="4">
        <v>465008.13</v>
      </c>
    </row>
    <row r="73" spans="1:6" x14ac:dyDescent="0.3">
      <c r="A73" s="3" t="s">
        <v>27</v>
      </c>
      <c r="B73" s="3" t="s">
        <v>28</v>
      </c>
      <c r="C73" s="3" t="s">
        <v>21</v>
      </c>
      <c r="D73" s="3" t="s">
        <v>39</v>
      </c>
      <c r="E73" s="3">
        <v>1</v>
      </c>
      <c r="F73" s="4">
        <v>3550856.33</v>
      </c>
    </row>
    <row r="74" spans="1:6" x14ac:dyDescent="0.3">
      <c r="A74" s="3" t="s">
        <v>27</v>
      </c>
      <c r="B74" s="3" t="s">
        <v>28</v>
      </c>
      <c r="C74" s="3" t="s">
        <v>21</v>
      </c>
      <c r="D74" s="3" t="s">
        <v>26</v>
      </c>
      <c r="E74" s="3">
        <v>1</v>
      </c>
      <c r="F74" s="4">
        <v>2148680.25</v>
      </c>
    </row>
    <row r="75" spans="1:6" x14ac:dyDescent="0.3">
      <c r="A75" s="3" t="s">
        <v>27</v>
      </c>
      <c r="B75" s="3" t="s">
        <v>28</v>
      </c>
      <c r="C75" s="3" t="s">
        <v>21</v>
      </c>
      <c r="D75" s="3" t="s">
        <v>22</v>
      </c>
      <c r="E75" s="3">
        <v>1</v>
      </c>
      <c r="F75" s="4">
        <v>613930.19999999995</v>
      </c>
    </row>
    <row r="76" spans="1:6" x14ac:dyDescent="0.3">
      <c r="A76" s="3" t="s">
        <v>27</v>
      </c>
      <c r="B76" s="3" t="s">
        <v>28</v>
      </c>
      <c r="C76" s="3" t="s">
        <v>21</v>
      </c>
      <c r="D76" s="3" t="s">
        <v>12</v>
      </c>
      <c r="E76" s="3">
        <v>1</v>
      </c>
      <c r="F76" s="4">
        <v>544468.81000000006</v>
      </c>
    </row>
    <row r="77" spans="1:6" x14ac:dyDescent="0.3">
      <c r="A77" s="3" t="s">
        <v>52</v>
      </c>
      <c r="B77" s="3" t="s">
        <v>53</v>
      </c>
      <c r="C77" s="3" t="s">
        <v>42</v>
      </c>
      <c r="D77" s="3" t="s">
        <v>49</v>
      </c>
      <c r="E77" s="3">
        <v>2</v>
      </c>
      <c r="F77" s="4">
        <v>2555170.2799999998</v>
      </c>
    </row>
    <row r="78" spans="1:6" x14ac:dyDescent="0.3">
      <c r="A78" s="3" t="s">
        <v>52</v>
      </c>
      <c r="B78" s="3" t="s">
        <v>53</v>
      </c>
      <c r="C78" s="3" t="s">
        <v>42</v>
      </c>
      <c r="D78" s="3" t="s">
        <v>39</v>
      </c>
      <c r="E78" s="3">
        <v>1</v>
      </c>
      <c r="F78" s="4">
        <v>4298871.79</v>
      </c>
    </row>
    <row r="79" spans="1:6" x14ac:dyDescent="0.3">
      <c r="A79" s="3" t="s">
        <v>52</v>
      </c>
      <c r="B79" s="3" t="s">
        <v>53</v>
      </c>
      <c r="C79" s="3" t="s">
        <v>42</v>
      </c>
      <c r="D79" s="3" t="s">
        <v>26</v>
      </c>
      <c r="E79" s="3">
        <v>4</v>
      </c>
      <c r="F79" s="4">
        <v>10824330.76</v>
      </c>
    </row>
    <row r="80" spans="1:6" x14ac:dyDescent="0.3">
      <c r="A80" s="3" t="s">
        <v>52</v>
      </c>
      <c r="B80" s="3" t="s">
        <v>53</v>
      </c>
      <c r="C80" s="3" t="s">
        <v>42</v>
      </c>
      <c r="D80" s="3" t="s">
        <v>22</v>
      </c>
      <c r="E80" s="3">
        <v>1</v>
      </c>
      <c r="F80" s="4">
        <v>4079181.55</v>
      </c>
    </row>
    <row r="81" spans="1:6" x14ac:dyDescent="0.3">
      <c r="A81" s="3" t="s">
        <v>52</v>
      </c>
      <c r="B81" s="3" t="s">
        <v>53</v>
      </c>
      <c r="C81" s="3" t="s">
        <v>42</v>
      </c>
      <c r="D81" s="3" t="s">
        <v>12</v>
      </c>
      <c r="E81" s="3">
        <v>2</v>
      </c>
      <c r="F81" s="4">
        <v>5848650.9100000001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4C92F-8A18-4C49-BAB3-42D697F3301D}">
  <dimension ref="A1:J81"/>
  <sheetViews>
    <sheetView workbookViewId="0">
      <selection activeCell="J6" sqref="J6"/>
    </sheetView>
  </sheetViews>
  <sheetFormatPr defaultRowHeight="14.4" x14ac:dyDescent="0.3"/>
  <cols>
    <col min="1" max="1" width="16.88671875" style="5" bestFit="1" customWidth="1"/>
    <col min="2" max="2" width="13.109375" style="5" bestFit="1" customWidth="1"/>
    <col min="3" max="3" width="22.109375" style="5" bestFit="1" customWidth="1"/>
    <col min="4" max="4" width="15.33203125" style="5" bestFit="1" customWidth="1"/>
    <col min="5" max="5" width="18" style="6" bestFit="1" customWidth="1"/>
    <col min="6" max="6" width="21.5546875" style="6" bestFit="1" customWidth="1"/>
    <col min="7" max="7" width="20" style="6" bestFit="1" customWidth="1"/>
    <col min="10" max="10" width="16.44140625" bestFit="1" customWidth="1"/>
  </cols>
  <sheetData>
    <row r="1" spans="1:10" ht="17.399999999999999" x14ac:dyDescent="0.3">
      <c r="A1" s="7" t="s">
        <v>4</v>
      </c>
      <c r="B1" s="7" t="s">
        <v>3</v>
      </c>
      <c r="C1" s="7" t="s">
        <v>2</v>
      </c>
      <c r="D1" s="7" t="s">
        <v>55</v>
      </c>
      <c r="E1" s="8" t="s">
        <v>56</v>
      </c>
      <c r="F1" s="8" t="s">
        <v>57</v>
      </c>
      <c r="G1" s="8" t="s">
        <v>58</v>
      </c>
    </row>
    <row r="2" spans="1:10" x14ac:dyDescent="0.3">
      <c r="A2" s="3" t="s">
        <v>49</v>
      </c>
      <c r="B2" s="3" t="s">
        <v>21</v>
      </c>
      <c r="C2" s="3" t="s">
        <v>28</v>
      </c>
      <c r="D2" s="3">
        <v>5</v>
      </c>
      <c r="E2" s="4">
        <v>14453246.65</v>
      </c>
      <c r="F2" s="4">
        <v>2890649.33</v>
      </c>
      <c r="G2" s="4">
        <v>1045263</v>
      </c>
    </row>
    <row r="3" spans="1:10" x14ac:dyDescent="0.3">
      <c r="A3" s="3" t="s">
        <v>49</v>
      </c>
      <c r="B3" s="3" t="s">
        <v>16</v>
      </c>
      <c r="C3" s="3" t="s">
        <v>33</v>
      </c>
      <c r="D3" s="3">
        <v>1</v>
      </c>
      <c r="E3" s="4">
        <v>6359053.0999999996</v>
      </c>
      <c r="F3" s="4">
        <v>6359053.0999999996</v>
      </c>
      <c r="G3" s="4">
        <v>127181.061999999</v>
      </c>
      <c r="J3" s="2"/>
    </row>
    <row r="4" spans="1:10" x14ac:dyDescent="0.3">
      <c r="A4" s="3" t="s">
        <v>49</v>
      </c>
      <c r="B4" s="3" t="s">
        <v>36</v>
      </c>
      <c r="C4" s="3" t="s">
        <v>46</v>
      </c>
      <c r="D4" s="3">
        <v>2</v>
      </c>
      <c r="E4" s="4">
        <v>6072564.3199999901</v>
      </c>
      <c r="F4" s="4">
        <v>3036282.16</v>
      </c>
      <c r="G4" s="4">
        <v>34592.049399999902</v>
      </c>
    </row>
    <row r="5" spans="1:10" x14ac:dyDescent="0.3">
      <c r="A5" s="3" t="s">
        <v>49</v>
      </c>
      <c r="B5" s="3" t="s">
        <v>21</v>
      </c>
      <c r="C5" s="3" t="s">
        <v>20</v>
      </c>
      <c r="D5" s="3">
        <v>3</v>
      </c>
      <c r="E5" s="4">
        <v>5972657.1500000004</v>
      </c>
      <c r="F5" s="4">
        <v>1990885.72</v>
      </c>
      <c r="G5" s="4">
        <v>380594.62399999902</v>
      </c>
    </row>
    <row r="6" spans="1:10" x14ac:dyDescent="0.3">
      <c r="A6" s="3" t="s">
        <v>49</v>
      </c>
      <c r="B6" s="3" t="s">
        <v>36</v>
      </c>
      <c r="C6" s="3" t="s">
        <v>51</v>
      </c>
      <c r="D6" s="3">
        <v>3</v>
      </c>
      <c r="E6" s="4">
        <v>5151535.2</v>
      </c>
      <c r="F6" s="4">
        <v>1717178.4</v>
      </c>
      <c r="G6" s="4">
        <v>232856.74349999899</v>
      </c>
      <c r="J6" s="11">
        <f>AVERAGE(F2:F81)</f>
        <v>2020127.8493750002</v>
      </c>
    </row>
    <row r="7" spans="1:10" x14ac:dyDescent="0.3">
      <c r="A7" s="3" t="s">
        <v>49</v>
      </c>
      <c r="B7" s="3" t="s">
        <v>42</v>
      </c>
      <c r="C7" s="3" t="s">
        <v>41</v>
      </c>
      <c r="D7" s="3">
        <v>3</v>
      </c>
      <c r="E7" s="4">
        <v>5122771.79</v>
      </c>
      <c r="F7" s="4">
        <v>1707590.6</v>
      </c>
      <c r="G7" s="4">
        <v>134467.90599999999</v>
      </c>
    </row>
    <row r="8" spans="1:10" x14ac:dyDescent="0.3">
      <c r="A8" s="3" t="s">
        <v>49</v>
      </c>
      <c r="B8" s="3" t="s">
        <v>16</v>
      </c>
      <c r="C8" s="3" t="s">
        <v>30</v>
      </c>
      <c r="D8" s="3">
        <v>2</v>
      </c>
      <c r="E8" s="4">
        <v>5018273</v>
      </c>
      <c r="F8" s="4">
        <v>2509136.5</v>
      </c>
      <c r="G8" s="4">
        <v>250913.65</v>
      </c>
    </row>
    <row r="9" spans="1:10" x14ac:dyDescent="0.3">
      <c r="A9" s="3" t="s">
        <v>49</v>
      </c>
      <c r="B9" s="3" t="s">
        <v>16</v>
      </c>
      <c r="C9" s="3" t="s">
        <v>15</v>
      </c>
      <c r="D9" s="3">
        <v>2</v>
      </c>
      <c r="E9" s="4">
        <v>3632668.18</v>
      </c>
      <c r="F9" s="4">
        <v>1816334.09</v>
      </c>
      <c r="G9" s="4">
        <v>356400.90009999898</v>
      </c>
    </row>
    <row r="10" spans="1:10" x14ac:dyDescent="0.3">
      <c r="A10" s="3" t="s">
        <v>49</v>
      </c>
      <c r="B10" s="3" t="s">
        <v>42</v>
      </c>
      <c r="C10" s="3" t="s">
        <v>48</v>
      </c>
      <c r="D10" s="3">
        <v>3</v>
      </c>
      <c r="E10" s="4">
        <v>3508248.08</v>
      </c>
      <c r="F10" s="4">
        <v>1169416.03</v>
      </c>
      <c r="G10" s="4">
        <v>2506.7165</v>
      </c>
    </row>
    <row r="11" spans="1:10" x14ac:dyDescent="0.3">
      <c r="A11" s="3" t="s">
        <v>49</v>
      </c>
      <c r="B11" s="3" t="s">
        <v>21</v>
      </c>
      <c r="C11" s="3" t="s">
        <v>44</v>
      </c>
      <c r="D11" s="3">
        <v>4</v>
      </c>
      <c r="E11" s="4">
        <v>3276703.15</v>
      </c>
      <c r="F11" s="4">
        <v>819175.79</v>
      </c>
      <c r="G11" s="4">
        <v>44527.392399999997</v>
      </c>
    </row>
    <row r="12" spans="1:10" x14ac:dyDescent="0.3">
      <c r="A12" s="3" t="s">
        <v>49</v>
      </c>
      <c r="B12" s="3" t="s">
        <v>11</v>
      </c>
      <c r="C12" s="3" t="s">
        <v>10</v>
      </c>
      <c r="D12" s="3">
        <v>3</v>
      </c>
      <c r="E12" s="4">
        <v>2903100.6</v>
      </c>
      <c r="F12" s="4">
        <v>967700.2</v>
      </c>
      <c r="G12" s="4">
        <v>9375.4724000000006</v>
      </c>
    </row>
    <row r="13" spans="1:10" x14ac:dyDescent="0.3">
      <c r="A13" s="3" t="s">
        <v>49</v>
      </c>
      <c r="B13" s="3" t="s">
        <v>21</v>
      </c>
      <c r="C13" s="3" t="s">
        <v>38</v>
      </c>
      <c r="D13" s="3">
        <v>3</v>
      </c>
      <c r="E13" s="4">
        <v>2843401.88</v>
      </c>
      <c r="F13" s="4">
        <v>947800.63</v>
      </c>
      <c r="G13" s="4">
        <v>0</v>
      </c>
    </row>
    <row r="14" spans="1:10" x14ac:dyDescent="0.3">
      <c r="A14" s="3" t="s">
        <v>49</v>
      </c>
      <c r="B14" s="3" t="s">
        <v>42</v>
      </c>
      <c r="C14" s="3" t="s">
        <v>53</v>
      </c>
      <c r="D14" s="3">
        <v>2</v>
      </c>
      <c r="E14" s="4">
        <v>2555170.2799999998</v>
      </c>
      <c r="F14" s="4">
        <v>1277585.1399999999</v>
      </c>
      <c r="G14" s="4">
        <v>69992.795599999998</v>
      </c>
    </row>
    <row r="15" spans="1:10" x14ac:dyDescent="0.3">
      <c r="A15" s="3" t="s">
        <v>49</v>
      </c>
      <c r="B15" s="3" t="s">
        <v>25</v>
      </c>
      <c r="C15" s="3" t="s">
        <v>24</v>
      </c>
      <c r="D15" s="3">
        <v>1</v>
      </c>
      <c r="E15" s="4">
        <v>730153.44</v>
      </c>
      <c r="F15" s="4">
        <v>730153.44</v>
      </c>
      <c r="G15" s="4">
        <v>0</v>
      </c>
    </row>
    <row r="16" spans="1:10" x14ac:dyDescent="0.3">
      <c r="A16" s="3" t="s">
        <v>17</v>
      </c>
      <c r="B16" s="3" t="s">
        <v>42</v>
      </c>
      <c r="C16" s="3" t="s">
        <v>48</v>
      </c>
      <c r="D16" s="3">
        <v>6</v>
      </c>
      <c r="E16" s="4">
        <v>15127561.77</v>
      </c>
      <c r="F16" s="4">
        <v>2521260.2999999998</v>
      </c>
      <c r="G16" s="4">
        <v>380802.57740000001</v>
      </c>
    </row>
    <row r="17" spans="1:7" x14ac:dyDescent="0.3">
      <c r="A17" s="3" t="s">
        <v>17</v>
      </c>
      <c r="B17" s="3" t="s">
        <v>36</v>
      </c>
      <c r="C17" s="3" t="s">
        <v>51</v>
      </c>
      <c r="D17" s="3">
        <v>4</v>
      </c>
      <c r="E17" s="4">
        <v>11067386.439999999</v>
      </c>
      <c r="F17" s="4">
        <v>2766846.61</v>
      </c>
      <c r="G17" s="4">
        <v>320007.39899999998</v>
      </c>
    </row>
    <row r="18" spans="1:7" x14ac:dyDescent="0.3">
      <c r="A18" s="3" t="s">
        <v>17</v>
      </c>
      <c r="B18" s="3" t="s">
        <v>16</v>
      </c>
      <c r="C18" s="3" t="s">
        <v>33</v>
      </c>
      <c r="D18" s="3">
        <v>4</v>
      </c>
      <c r="E18" s="4">
        <v>9633136.1199999992</v>
      </c>
      <c r="F18" s="4">
        <v>2408284.0299999998</v>
      </c>
      <c r="G18" s="4">
        <v>32530.929</v>
      </c>
    </row>
    <row r="19" spans="1:7" x14ac:dyDescent="0.3">
      <c r="A19" s="3" t="s">
        <v>17</v>
      </c>
      <c r="B19" s="3" t="s">
        <v>42</v>
      </c>
      <c r="C19" s="3" t="s">
        <v>41</v>
      </c>
      <c r="D19" s="3">
        <v>3</v>
      </c>
      <c r="E19" s="4">
        <v>9337155.5299999993</v>
      </c>
      <c r="F19" s="4">
        <v>3112385.18</v>
      </c>
      <c r="G19" s="4">
        <v>102220.3324</v>
      </c>
    </row>
    <row r="20" spans="1:7" x14ac:dyDescent="0.3">
      <c r="A20" s="3" t="s">
        <v>17</v>
      </c>
      <c r="B20" s="3" t="s">
        <v>36</v>
      </c>
      <c r="C20" s="3" t="s">
        <v>46</v>
      </c>
      <c r="D20" s="3">
        <v>5</v>
      </c>
      <c r="E20" s="4">
        <v>7922665.8499999996</v>
      </c>
      <c r="F20" s="4">
        <v>1584533.17</v>
      </c>
      <c r="G20" s="4">
        <v>442508.1802</v>
      </c>
    </row>
    <row r="21" spans="1:7" x14ac:dyDescent="0.3">
      <c r="A21" s="3" t="s">
        <v>17</v>
      </c>
      <c r="B21" s="3" t="s">
        <v>16</v>
      </c>
      <c r="C21" s="3" t="s">
        <v>30</v>
      </c>
      <c r="D21" s="3">
        <v>1</v>
      </c>
      <c r="E21" s="4">
        <v>3407768.82</v>
      </c>
      <c r="F21" s="4">
        <v>3407768.82</v>
      </c>
      <c r="G21" s="4">
        <v>170388.44099999999</v>
      </c>
    </row>
    <row r="22" spans="1:7" x14ac:dyDescent="0.3">
      <c r="A22" s="3" t="s">
        <v>17</v>
      </c>
      <c r="B22" s="3" t="s">
        <v>21</v>
      </c>
      <c r="C22" s="3" t="s">
        <v>44</v>
      </c>
      <c r="D22" s="3">
        <v>1</v>
      </c>
      <c r="E22" s="4">
        <v>1429987.34</v>
      </c>
      <c r="F22" s="4">
        <v>1429987.34</v>
      </c>
      <c r="G22" s="4">
        <v>0</v>
      </c>
    </row>
    <row r="23" spans="1:7" x14ac:dyDescent="0.3">
      <c r="A23" s="3" t="s">
        <v>17</v>
      </c>
      <c r="B23" s="3" t="s">
        <v>36</v>
      </c>
      <c r="C23" s="3" t="s">
        <v>35</v>
      </c>
      <c r="D23" s="3">
        <v>1</v>
      </c>
      <c r="E23" s="4">
        <v>1327201.3400000001</v>
      </c>
      <c r="F23" s="4">
        <v>1327201.3400000001</v>
      </c>
      <c r="G23" s="4">
        <v>26544.0268</v>
      </c>
    </row>
    <row r="24" spans="1:7" x14ac:dyDescent="0.3">
      <c r="A24" s="3" t="s">
        <v>17</v>
      </c>
      <c r="B24" s="3" t="s">
        <v>25</v>
      </c>
      <c r="C24" s="3" t="s">
        <v>24</v>
      </c>
      <c r="D24" s="3">
        <v>3</v>
      </c>
      <c r="E24" s="4">
        <v>944930.11999999895</v>
      </c>
      <c r="F24" s="4">
        <v>314976.71000000002</v>
      </c>
      <c r="G24" s="4">
        <v>61103.544099999999</v>
      </c>
    </row>
    <row r="25" spans="1:7" x14ac:dyDescent="0.3">
      <c r="A25" s="3" t="s">
        <v>17</v>
      </c>
      <c r="B25" s="3" t="s">
        <v>16</v>
      </c>
      <c r="C25" s="3" t="s">
        <v>15</v>
      </c>
      <c r="D25" s="3">
        <v>2</v>
      </c>
      <c r="E25" s="4">
        <v>681831.5</v>
      </c>
      <c r="F25" s="4">
        <v>340915.75</v>
      </c>
      <c r="G25" s="4">
        <v>63911.220799999901</v>
      </c>
    </row>
    <row r="26" spans="1:7" x14ac:dyDescent="0.3">
      <c r="A26" s="3" t="s">
        <v>17</v>
      </c>
      <c r="B26" s="3" t="s">
        <v>21</v>
      </c>
      <c r="C26" s="3" t="s">
        <v>38</v>
      </c>
      <c r="D26" s="3">
        <v>1</v>
      </c>
      <c r="E26" s="4">
        <v>492701</v>
      </c>
      <c r="F26" s="4">
        <v>492701</v>
      </c>
      <c r="G26" s="4">
        <v>0</v>
      </c>
    </row>
    <row r="27" spans="1:7" x14ac:dyDescent="0.3">
      <c r="A27" s="3" t="s">
        <v>17</v>
      </c>
      <c r="B27" s="3" t="s">
        <v>21</v>
      </c>
      <c r="C27" s="3" t="s">
        <v>28</v>
      </c>
      <c r="D27" s="3">
        <v>1</v>
      </c>
      <c r="E27" s="4">
        <v>465008.13</v>
      </c>
      <c r="F27" s="4">
        <v>465008.13</v>
      </c>
      <c r="G27" s="4">
        <v>46500.8129999999</v>
      </c>
    </row>
    <row r="28" spans="1:7" x14ac:dyDescent="0.3">
      <c r="A28" s="3" t="s">
        <v>39</v>
      </c>
      <c r="B28" s="3" t="s">
        <v>36</v>
      </c>
      <c r="C28" s="3" t="s">
        <v>46</v>
      </c>
      <c r="D28" s="3">
        <v>2</v>
      </c>
      <c r="E28" s="4">
        <v>12533599.25</v>
      </c>
      <c r="F28" s="4">
        <v>6266799.6200000001</v>
      </c>
      <c r="G28" s="4">
        <v>412077.5526</v>
      </c>
    </row>
    <row r="29" spans="1:7" x14ac:dyDescent="0.3">
      <c r="A29" s="3" t="s">
        <v>39</v>
      </c>
      <c r="B29" s="3" t="s">
        <v>16</v>
      </c>
      <c r="C29" s="3" t="s">
        <v>15</v>
      </c>
      <c r="D29" s="3">
        <v>4</v>
      </c>
      <c r="E29" s="4">
        <v>9672543.4800000004</v>
      </c>
      <c r="F29" s="4">
        <v>2418135.87</v>
      </c>
      <c r="G29" s="4">
        <v>82656.393800000005</v>
      </c>
    </row>
    <row r="30" spans="1:7" x14ac:dyDescent="0.3">
      <c r="A30" s="3" t="s">
        <v>39</v>
      </c>
      <c r="B30" s="3" t="s">
        <v>11</v>
      </c>
      <c r="C30" s="3" t="s">
        <v>10</v>
      </c>
      <c r="D30" s="3">
        <v>2</v>
      </c>
      <c r="E30" s="4">
        <v>8417257.1600000001</v>
      </c>
      <c r="F30" s="4">
        <v>4208628.58</v>
      </c>
      <c r="G30" s="4">
        <v>141744.655</v>
      </c>
    </row>
    <row r="31" spans="1:7" x14ac:dyDescent="0.3">
      <c r="A31" s="3" t="s">
        <v>39</v>
      </c>
      <c r="B31" s="3" t="s">
        <v>21</v>
      </c>
      <c r="C31" s="3" t="s">
        <v>20</v>
      </c>
      <c r="D31" s="3">
        <v>3</v>
      </c>
      <c r="E31" s="4">
        <v>7654028.0099999998</v>
      </c>
      <c r="F31" s="4">
        <v>2551342.67</v>
      </c>
      <c r="G31" s="4">
        <v>159737.9791</v>
      </c>
    </row>
    <row r="32" spans="1:7" x14ac:dyDescent="0.3">
      <c r="A32" s="3" t="s">
        <v>39</v>
      </c>
      <c r="B32" s="3" t="s">
        <v>21</v>
      </c>
      <c r="C32" s="3" t="s">
        <v>44</v>
      </c>
      <c r="D32" s="3">
        <v>3</v>
      </c>
      <c r="E32" s="4">
        <v>7109235.7599999998</v>
      </c>
      <c r="F32" s="4">
        <v>2369745.25</v>
      </c>
      <c r="G32" s="4">
        <v>585196.53969999996</v>
      </c>
    </row>
    <row r="33" spans="1:7" x14ac:dyDescent="0.3">
      <c r="A33" s="3" t="s">
        <v>39</v>
      </c>
      <c r="B33" s="3" t="s">
        <v>16</v>
      </c>
      <c r="C33" s="3" t="s">
        <v>33</v>
      </c>
      <c r="D33" s="3">
        <v>2</v>
      </c>
      <c r="E33" s="4">
        <v>6118915.2899999898</v>
      </c>
      <c r="F33" s="4">
        <v>3059457.64</v>
      </c>
      <c r="G33" s="4">
        <v>159320.15399999899</v>
      </c>
    </row>
    <row r="34" spans="1:7" x14ac:dyDescent="0.3">
      <c r="A34" s="3" t="s">
        <v>39</v>
      </c>
      <c r="B34" s="3" t="s">
        <v>36</v>
      </c>
      <c r="C34" s="3" t="s">
        <v>35</v>
      </c>
      <c r="D34" s="3">
        <v>2</v>
      </c>
      <c r="E34" s="4">
        <v>5038728.45</v>
      </c>
      <c r="F34" s="4">
        <v>2519364.2200000002</v>
      </c>
      <c r="G34" s="4">
        <v>253264.639</v>
      </c>
    </row>
    <row r="35" spans="1:7" x14ac:dyDescent="0.3">
      <c r="A35" s="3" t="s">
        <v>39</v>
      </c>
      <c r="B35" s="3" t="s">
        <v>42</v>
      </c>
      <c r="C35" s="3" t="s">
        <v>53</v>
      </c>
      <c r="D35" s="3">
        <v>1</v>
      </c>
      <c r="E35" s="4">
        <v>4298871.79</v>
      </c>
      <c r="F35" s="4">
        <v>4298871.79</v>
      </c>
      <c r="G35" s="4">
        <v>85977.435800000007</v>
      </c>
    </row>
    <row r="36" spans="1:7" x14ac:dyDescent="0.3">
      <c r="A36" s="3" t="s">
        <v>39</v>
      </c>
      <c r="B36" s="3" t="s">
        <v>21</v>
      </c>
      <c r="C36" s="3" t="s">
        <v>28</v>
      </c>
      <c r="D36" s="3">
        <v>1</v>
      </c>
      <c r="E36" s="4">
        <v>3550856.33</v>
      </c>
      <c r="F36" s="4">
        <v>3550856.33</v>
      </c>
      <c r="G36" s="4">
        <v>0</v>
      </c>
    </row>
    <row r="37" spans="1:7" x14ac:dyDescent="0.3">
      <c r="A37" s="3" t="s">
        <v>39</v>
      </c>
      <c r="B37" s="3" t="s">
        <v>16</v>
      </c>
      <c r="C37" s="3" t="s">
        <v>30</v>
      </c>
      <c r="D37" s="3">
        <v>1</v>
      </c>
      <c r="E37" s="4">
        <v>2649568.52</v>
      </c>
      <c r="F37" s="4">
        <v>2649568.52</v>
      </c>
      <c r="G37" s="4">
        <v>132478.42600000001</v>
      </c>
    </row>
    <row r="38" spans="1:7" x14ac:dyDescent="0.3">
      <c r="A38" s="3" t="s">
        <v>39</v>
      </c>
      <c r="B38" s="3" t="s">
        <v>36</v>
      </c>
      <c r="C38" s="3" t="s">
        <v>51</v>
      </c>
      <c r="D38" s="3">
        <v>1</v>
      </c>
      <c r="E38" s="4">
        <v>1633949.92</v>
      </c>
      <c r="F38" s="4">
        <v>1633949.92</v>
      </c>
      <c r="G38" s="4">
        <v>114376.4944</v>
      </c>
    </row>
    <row r="39" spans="1:7" x14ac:dyDescent="0.3">
      <c r="A39" s="3" t="s">
        <v>39</v>
      </c>
      <c r="B39" s="3" t="s">
        <v>42</v>
      </c>
      <c r="C39" s="3" t="s">
        <v>48</v>
      </c>
      <c r="D39" s="3">
        <v>2</v>
      </c>
      <c r="E39" s="4">
        <v>819372.77</v>
      </c>
      <c r="F39" s="4">
        <v>409686.38</v>
      </c>
      <c r="G39" s="4">
        <v>0</v>
      </c>
    </row>
    <row r="40" spans="1:7" x14ac:dyDescent="0.3">
      <c r="A40" s="3" t="s">
        <v>26</v>
      </c>
      <c r="B40" s="3" t="s">
        <v>42</v>
      </c>
      <c r="C40" s="3" t="s">
        <v>53</v>
      </c>
      <c r="D40" s="3">
        <v>4</v>
      </c>
      <c r="E40" s="4">
        <v>10824330.76</v>
      </c>
      <c r="F40" s="4">
        <v>2706082.69</v>
      </c>
      <c r="G40" s="4">
        <v>0</v>
      </c>
    </row>
    <row r="41" spans="1:7" x14ac:dyDescent="0.3">
      <c r="A41" s="3" t="s">
        <v>26</v>
      </c>
      <c r="B41" s="3" t="s">
        <v>42</v>
      </c>
      <c r="C41" s="3" t="s">
        <v>41</v>
      </c>
      <c r="D41" s="3">
        <v>5</v>
      </c>
      <c r="E41" s="4">
        <v>10061509.41</v>
      </c>
      <c r="F41" s="4">
        <v>2012301.88</v>
      </c>
      <c r="G41" s="4">
        <v>531264.42180000001</v>
      </c>
    </row>
    <row r="42" spans="1:7" x14ac:dyDescent="0.3">
      <c r="A42" s="3" t="s">
        <v>26</v>
      </c>
      <c r="B42" s="3" t="s">
        <v>25</v>
      </c>
      <c r="C42" s="3" t="s">
        <v>24</v>
      </c>
      <c r="D42" s="3">
        <v>5</v>
      </c>
      <c r="E42" s="4">
        <v>8384633</v>
      </c>
      <c r="F42" s="4">
        <v>1676926.6</v>
      </c>
      <c r="G42" s="4">
        <v>500366.20390000002</v>
      </c>
    </row>
    <row r="43" spans="1:7" x14ac:dyDescent="0.3">
      <c r="A43" s="3" t="s">
        <v>26</v>
      </c>
      <c r="B43" s="3" t="s">
        <v>16</v>
      </c>
      <c r="C43" s="3" t="s">
        <v>15</v>
      </c>
      <c r="D43" s="3">
        <v>3</v>
      </c>
      <c r="E43" s="4">
        <v>6939763.0099999998</v>
      </c>
      <c r="F43" s="4">
        <v>2313254.34</v>
      </c>
      <c r="G43" s="4">
        <v>260269.067699999</v>
      </c>
    </row>
    <row r="44" spans="1:7" x14ac:dyDescent="0.3">
      <c r="A44" s="3" t="s">
        <v>26</v>
      </c>
      <c r="B44" s="3" t="s">
        <v>36</v>
      </c>
      <c r="C44" s="3" t="s">
        <v>35</v>
      </c>
      <c r="D44" s="3">
        <v>3</v>
      </c>
      <c r="E44" s="4">
        <v>6884580.6799999997</v>
      </c>
      <c r="F44" s="4">
        <v>2294860.23</v>
      </c>
      <c r="G44" s="4">
        <v>497277.54699999897</v>
      </c>
    </row>
    <row r="45" spans="1:7" x14ac:dyDescent="0.3">
      <c r="A45" s="3" t="s">
        <v>26</v>
      </c>
      <c r="B45" s="3" t="s">
        <v>16</v>
      </c>
      <c r="C45" s="3" t="s">
        <v>30</v>
      </c>
      <c r="D45" s="3">
        <v>2</v>
      </c>
      <c r="E45" s="4">
        <v>6507183.6200000001</v>
      </c>
      <c r="F45" s="4">
        <v>3253591.81</v>
      </c>
      <c r="G45" s="4">
        <v>214160.10140000001</v>
      </c>
    </row>
    <row r="46" spans="1:7" x14ac:dyDescent="0.3">
      <c r="A46" s="3" t="s">
        <v>26</v>
      </c>
      <c r="B46" s="3" t="s">
        <v>21</v>
      </c>
      <c r="C46" s="3" t="s">
        <v>44</v>
      </c>
      <c r="D46" s="3">
        <v>2</v>
      </c>
      <c r="E46" s="4">
        <v>4153969.36</v>
      </c>
      <c r="F46" s="4">
        <v>2076984.68</v>
      </c>
      <c r="G46" s="4">
        <v>412885.64720000001</v>
      </c>
    </row>
    <row r="47" spans="1:7" x14ac:dyDescent="0.3">
      <c r="A47" s="3" t="s">
        <v>26</v>
      </c>
      <c r="B47" s="3" t="s">
        <v>42</v>
      </c>
      <c r="C47" s="3" t="s">
        <v>48</v>
      </c>
      <c r="D47" s="3">
        <v>2</v>
      </c>
      <c r="E47" s="4">
        <v>3826905.1399999899</v>
      </c>
      <c r="F47" s="4">
        <v>1913452.57</v>
      </c>
      <c r="G47" s="4">
        <v>264269.49400000001</v>
      </c>
    </row>
    <row r="48" spans="1:7" x14ac:dyDescent="0.3">
      <c r="A48" s="3" t="s">
        <v>26</v>
      </c>
      <c r="B48" s="3" t="s">
        <v>16</v>
      </c>
      <c r="C48" s="3" t="s">
        <v>33</v>
      </c>
      <c r="D48" s="3">
        <v>3</v>
      </c>
      <c r="E48" s="4">
        <v>3268788.01</v>
      </c>
      <c r="F48" s="4">
        <v>1089596</v>
      </c>
      <c r="G48" s="4">
        <v>87101.671000000002</v>
      </c>
    </row>
    <row r="49" spans="1:7" x14ac:dyDescent="0.3">
      <c r="A49" s="3" t="s">
        <v>26</v>
      </c>
      <c r="B49" s="3" t="s">
        <v>21</v>
      </c>
      <c r="C49" s="3" t="s">
        <v>28</v>
      </c>
      <c r="D49" s="3">
        <v>1</v>
      </c>
      <c r="E49" s="4">
        <v>2148680.25</v>
      </c>
      <c r="F49" s="4">
        <v>2148680.25</v>
      </c>
      <c r="G49" s="4">
        <v>214868.02499999999</v>
      </c>
    </row>
    <row r="50" spans="1:7" x14ac:dyDescent="0.3">
      <c r="A50" s="3" t="s">
        <v>26</v>
      </c>
      <c r="B50" s="3" t="s">
        <v>21</v>
      </c>
      <c r="C50" s="3" t="s">
        <v>20</v>
      </c>
      <c r="D50" s="3">
        <v>1</v>
      </c>
      <c r="E50" s="4">
        <v>1866152.28</v>
      </c>
      <c r="F50" s="4">
        <v>1866152.28</v>
      </c>
      <c r="G50" s="4">
        <v>130630.6596</v>
      </c>
    </row>
    <row r="51" spans="1:7" x14ac:dyDescent="0.3">
      <c r="A51" s="3" t="s">
        <v>26</v>
      </c>
      <c r="B51" s="3" t="s">
        <v>36</v>
      </c>
      <c r="C51" s="3" t="s">
        <v>51</v>
      </c>
      <c r="D51" s="3">
        <v>2</v>
      </c>
      <c r="E51" s="4">
        <v>1767876.3599999901</v>
      </c>
      <c r="F51" s="4">
        <v>883938.18</v>
      </c>
      <c r="G51" s="4">
        <v>43294.258699999998</v>
      </c>
    </row>
    <row r="52" spans="1:7" x14ac:dyDescent="0.3">
      <c r="A52" s="3" t="s">
        <v>26</v>
      </c>
      <c r="B52" s="3" t="s">
        <v>21</v>
      </c>
      <c r="C52" s="3" t="s">
        <v>38</v>
      </c>
      <c r="D52" s="3">
        <v>1</v>
      </c>
      <c r="E52" s="4">
        <v>858136.76</v>
      </c>
      <c r="F52" s="4">
        <v>858136.76</v>
      </c>
      <c r="G52" s="4">
        <v>17162.735199999999</v>
      </c>
    </row>
    <row r="53" spans="1:7" x14ac:dyDescent="0.3">
      <c r="A53" s="3" t="s">
        <v>26</v>
      </c>
      <c r="B53" s="3" t="s">
        <v>36</v>
      </c>
      <c r="C53" s="3" t="s">
        <v>46</v>
      </c>
      <c r="D53" s="3">
        <v>2</v>
      </c>
      <c r="E53" s="4">
        <v>734827.58</v>
      </c>
      <c r="F53" s="4">
        <v>367413.79</v>
      </c>
      <c r="G53" s="4">
        <v>9811.7049999999999</v>
      </c>
    </row>
    <row r="54" spans="1:7" x14ac:dyDescent="0.3">
      <c r="A54" s="3" t="s">
        <v>26</v>
      </c>
      <c r="B54" s="3" t="s">
        <v>11</v>
      </c>
      <c r="C54" s="3" t="s">
        <v>10</v>
      </c>
      <c r="D54" s="3">
        <v>1</v>
      </c>
      <c r="E54" s="4">
        <v>405915.67</v>
      </c>
      <c r="F54" s="4">
        <v>405915.67</v>
      </c>
      <c r="G54" s="4">
        <v>28414.0969</v>
      </c>
    </row>
    <row r="55" spans="1:7" x14ac:dyDescent="0.3">
      <c r="A55" s="3" t="s">
        <v>22</v>
      </c>
      <c r="B55" s="3" t="s">
        <v>21</v>
      </c>
      <c r="C55" s="3" t="s">
        <v>38</v>
      </c>
      <c r="D55" s="3">
        <v>7</v>
      </c>
      <c r="E55" s="4">
        <v>18551870.079999998</v>
      </c>
      <c r="F55" s="4">
        <v>2650267.15</v>
      </c>
      <c r="G55" s="4">
        <v>347891.08909999998</v>
      </c>
    </row>
    <row r="56" spans="1:7" x14ac:dyDescent="0.3">
      <c r="A56" s="3" t="s">
        <v>22</v>
      </c>
      <c r="B56" s="3" t="s">
        <v>16</v>
      </c>
      <c r="C56" s="3" t="s">
        <v>15</v>
      </c>
      <c r="D56" s="3">
        <v>4</v>
      </c>
      <c r="E56" s="4">
        <v>12839955.039999999</v>
      </c>
      <c r="F56" s="4">
        <v>3209988.76</v>
      </c>
      <c r="G56" s="4">
        <v>65250.6895</v>
      </c>
    </row>
    <row r="57" spans="1:7" x14ac:dyDescent="0.3">
      <c r="A57" s="3" t="s">
        <v>22</v>
      </c>
      <c r="B57" s="3" t="s">
        <v>25</v>
      </c>
      <c r="C57" s="3" t="s">
        <v>24</v>
      </c>
      <c r="D57" s="3">
        <v>6</v>
      </c>
      <c r="E57" s="4">
        <v>7588150.1500000004</v>
      </c>
      <c r="F57" s="4">
        <v>1264691.69</v>
      </c>
      <c r="G57" s="4">
        <v>329704.554</v>
      </c>
    </row>
    <row r="58" spans="1:7" x14ac:dyDescent="0.3">
      <c r="A58" s="3" t="s">
        <v>22</v>
      </c>
      <c r="B58" s="3" t="s">
        <v>21</v>
      </c>
      <c r="C58" s="3" t="s">
        <v>44</v>
      </c>
      <c r="D58" s="3">
        <v>3</v>
      </c>
      <c r="E58" s="4">
        <v>4306200.3499999996</v>
      </c>
      <c r="F58" s="4">
        <v>1435400.12</v>
      </c>
      <c r="G58" s="4">
        <v>219493.25150000001</v>
      </c>
    </row>
    <row r="59" spans="1:7" x14ac:dyDescent="0.3">
      <c r="A59" s="3" t="s">
        <v>22</v>
      </c>
      <c r="B59" s="3" t="s">
        <v>42</v>
      </c>
      <c r="C59" s="3" t="s">
        <v>53</v>
      </c>
      <c r="D59" s="3">
        <v>1</v>
      </c>
      <c r="E59" s="4">
        <v>4079181.55</v>
      </c>
      <c r="F59" s="4">
        <v>4079181.55</v>
      </c>
      <c r="G59" s="4">
        <v>285542.70849999902</v>
      </c>
    </row>
    <row r="60" spans="1:7" x14ac:dyDescent="0.3">
      <c r="A60" s="3" t="s">
        <v>22</v>
      </c>
      <c r="B60" s="3" t="s">
        <v>36</v>
      </c>
      <c r="C60" s="3" t="s">
        <v>35</v>
      </c>
      <c r="D60" s="3">
        <v>3</v>
      </c>
      <c r="E60" s="4">
        <v>3285831.21999999</v>
      </c>
      <c r="F60" s="4">
        <v>1095277.07</v>
      </c>
      <c r="G60" s="4">
        <v>157519.9664</v>
      </c>
    </row>
    <row r="61" spans="1:7" x14ac:dyDescent="0.3">
      <c r="A61" s="3" t="s">
        <v>22</v>
      </c>
      <c r="B61" s="3" t="s">
        <v>36</v>
      </c>
      <c r="C61" s="3" t="s">
        <v>46</v>
      </c>
      <c r="D61" s="3">
        <v>1</v>
      </c>
      <c r="E61" s="4">
        <v>2522028.31</v>
      </c>
      <c r="F61" s="4">
        <v>2522028.31</v>
      </c>
      <c r="G61" s="4">
        <v>176541.9817</v>
      </c>
    </row>
    <row r="62" spans="1:7" x14ac:dyDescent="0.3">
      <c r="A62" s="3" t="s">
        <v>22</v>
      </c>
      <c r="B62" s="3" t="s">
        <v>21</v>
      </c>
      <c r="C62" s="3" t="s">
        <v>20</v>
      </c>
      <c r="D62" s="3">
        <v>2</v>
      </c>
      <c r="E62" s="4">
        <v>2419546.69</v>
      </c>
      <c r="F62" s="4">
        <v>1209773.3500000001</v>
      </c>
      <c r="G62" s="4">
        <v>178133.78049999999</v>
      </c>
    </row>
    <row r="63" spans="1:7" x14ac:dyDescent="0.3">
      <c r="A63" s="3" t="s">
        <v>22</v>
      </c>
      <c r="B63" s="3" t="s">
        <v>11</v>
      </c>
      <c r="C63" s="3" t="s">
        <v>10</v>
      </c>
      <c r="D63" s="3">
        <v>2</v>
      </c>
      <c r="E63" s="4">
        <v>2149110.1</v>
      </c>
      <c r="F63" s="4">
        <v>1074555.05</v>
      </c>
      <c r="G63" s="4">
        <v>91289.438599999994</v>
      </c>
    </row>
    <row r="64" spans="1:7" x14ac:dyDescent="0.3">
      <c r="A64" s="3" t="s">
        <v>22</v>
      </c>
      <c r="B64" s="3" t="s">
        <v>16</v>
      </c>
      <c r="C64" s="3" t="s">
        <v>30</v>
      </c>
      <c r="D64" s="3">
        <v>2</v>
      </c>
      <c r="E64" s="4">
        <v>2119435.42</v>
      </c>
      <c r="F64" s="4">
        <v>1059717.71</v>
      </c>
      <c r="G64" s="4">
        <v>200385.5974</v>
      </c>
    </row>
    <row r="65" spans="1:7" x14ac:dyDescent="0.3">
      <c r="A65" s="3" t="s">
        <v>22</v>
      </c>
      <c r="B65" s="3" t="s">
        <v>16</v>
      </c>
      <c r="C65" s="3" t="s">
        <v>33</v>
      </c>
      <c r="D65" s="3">
        <v>4</v>
      </c>
      <c r="E65" s="4">
        <v>2104090.91</v>
      </c>
      <c r="F65" s="4">
        <v>526022.73</v>
      </c>
      <c r="G65" s="4">
        <v>49670.131800000003</v>
      </c>
    </row>
    <row r="66" spans="1:7" x14ac:dyDescent="0.3">
      <c r="A66" s="3" t="s">
        <v>22</v>
      </c>
      <c r="B66" s="3" t="s">
        <v>42</v>
      </c>
      <c r="C66" s="3" t="s">
        <v>41</v>
      </c>
      <c r="D66" s="3">
        <v>2</v>
      </c>
      <c r="E66" s="4">
        <v>1898189.21</v>
      </c>
      <c r="F66" s="4">
        <v>949094.6</v>
      </c>
      <c r="G66" s="4">
        <v>94909.460500000001</v>
      </c>
    </row>
    <row r="67" spans="1:7" x14ac:dyDescent="0.3">
      <c r="A67" s="3" t="s">
        <v>22</v>
      </c>
      <c r="B67" s="3" t="s">
        <v>21</v>
      </c>
      <c r="C67" s="3" t="s">
        <v>28</v>
      </c>
      <c r="D67" s="3">
        <v>1</v>
      </c>
      <c r="E67" s="4">
        <v>613930.19999999995</v>
      </c>
      <c r="F67" s="4">
        <v>613930.19999999995</v>
      </c>
      <c r="G67" s="4">
        <v>0</v>
      </c>
    </row>
    <row r="68" spans="1:7" x14ac:dyDescent="0.3">
      <c r="A68" s="3" t="s">
        <v>12</v>
      </c>
      <c r="B68" s="3" t="s">
        <v>25</v>
      </c>
      <c r="C68" s="3" t="s">
        <v>24</v>
      </c>
      <c r="D68" s="3">
        <v>4</v>
      </c>
      <c r="E68" s="4">
        <v>11054401.539999999</v>
      </c>
      <c r="F68" s="4">
        <v>2763600.38</v>
      </c>
      <c r="G68" s="4">
        <v>919060.93539999996</v>
      </c>
    </row>
    <row r="69" spans="1:7" x14ac:dyDescent="0.3">
      <c r="A69" s="3" t="s">
        <v>12</v>
      </c>
      <c r="B69" s="3" t="s">
        <v>36</v>
      </c>
      <c r="C69" s="3" t="s">
        <v>35</v>
      </c>
      <c r="D69" s="3">
        <v>3</v>
      </c>
      <c r="E69" s="4">
        <v>9796143.6799999997</v>
      </c>
      <c r="F69" s="4">
        <v>3265381.23</v>
      </c>
      <c r="G69" s="4">
        <v>512210.31999999902</v>
      </c>
    </row>
    <row r="70" spans="1:7" x14ac:dyDescent="0.3">
      <c r="A70" s="3" t="s">
        <v>12</v>
      </c>
      <c r="B70" s="3" t="s">
        <v>21</v>
      </c>
      <c r="C70" s="3" t="s">
        <v>44</v>
      </c>
      <c r="D70" s="3">
        <v>2</v>
      </c>
      <c r="E70" s="4">
        <v>8446989.5899999999</v>
      </c>
      <c r="F70" s="4">
        <v>4223494.8</v>
      </c>
      <c r="G70" s="4">
        <v>116903.0554</v>
      </c>
    </row>
    <row r="71" spans="1:7" x14ac:dyDescent="0.3">
      <c r="A71" s="3" t="s">
        <v>12</v>
      </c>
      <c r="B71" s="3" t="s">
        <v>16</v>
      </c>
      <c r="C71" s="3" t="s">
        <v>15</v>
      </c>
      <c r="D71" s="3">
        <v>3</v>
      </c>
      <c r="E71" s="4">
        <v>6842341.8600000003</v>
      </c>
      <c r="F71" s="4">
        <v>2280780.62</v>
      </c>
      <c r="G71" s="4">
        <v>342117.09299999999</v>
      </c>
    </row>
    <row r="72" spans="1:7" x14ac:dyDescent="0.3">
      <c r="A72" s="3" t="s">
        <v>12</v>
      </c>
      <c r="B72" s="3" t="s">
        <v>42</v>
      </c>
      <c r="C72" s="3" t="s">
        <v>41</v>
      </c>
      <c r="D72" s="3">
        <v>4</v>
      </c>
      <c r="E72" s="4">
        <v>5992804.9100000001</v>
      </c>
      <c r="F72" s="4">
        <v>1498201.23</v>
      </c>
      <c r="G72" s="4">
        <v>104384.0956</v>
      </c>
    </row>
    <row r="73" spans="1:7" x14ac:dyDescent="0.3">
      <c r="A73" s="3" t="s">
        <v>12</v>
      </c>
      <c r="B73" s="3" t="s">
        <v>42</v>
      </c>
      <c r="C73" s="3" t="s">
        <v>53</v>
      </c>
      <c r="D73" s="3">
        <v>2</v>
      </c>
      <c r="E73" s="4">
        <v>5848650.9100000001</v>
      </c>
      <c r="F73" s="4">
        <v>2924325.46</v>
      </c>
      <c r="G73" s="4">
        <v>0</v>
      </c>
    </row>
    <row r="74" spans="1:7" x14ac:dyDescent="0.3">
      <c r="A74" s="3" t="s">
        <v>12</v>
      </c>
      <c r="B74" s="3" t="s">
        <v>21</v>
      </c>
      <c r="C74" s="3" t="s">
        <v>38</v>
      </c>
      <c r="D74" s="3">
        <v>2</v>
      </c>
      <c r="E74" s="4">
        <v>4856779.96</v>
      </c>
      <c r="F74" s="4">
        <v>2428389.98</v>
      </c>
      <c r="G74" s="4">
        <v>242838.99799999999</v>
      </c>
    </row>
    <row r="75" spans="1:7" x14ac:dyDescent="0.3">
      <c r="A75" s="3" t="s">
        <v>12</v>
      </c>
      <c r="B75" s="3" t="s">
        <v>21</v>
      </c>
      <c r="C75" s="3" t="s">
        <v>20</v>
      </c>
      <c r="D75" s="3">
        <v>3</v>
      </c>
      <c r="E75" s="4">
        <v>4616515.47</v>
      </c>
      <c r="F75" s="4">
        <v>1538838.49</v>
      </c>
      <c r="G75" s="4">
        <v>14010.3243</v>
      </c>
    </row>
    <row r="76" spans="1:7" x14ac:dyDescent="0.3">
      <c r="A76" s="3" t="s">
        <v>12</v>
      </c>
      <c r="B76" s="3" t="s">
        <v>16</v>
      </c>
      <c r="C76" s="3" t="s">
        <v>33</v>
      </c>
      <c r="D76" s="3">
        <v>2</v>
      </c>
      <c r="E76" s="4">
        <v>3738978.6</v>
      </c>
      <c r="F76" s="4">
        <v>1869489.3</v>
      </c>
      <c r="G76" s="4">
        <v>373897.86</v>
      </c>
    </row>
    <row r="77" spans="1:7" x14ac:dyDescent="0.3">
      <c r="A77" s="3" t="s">
        <v>12</v>
      </c>
      <c r="B77" s="3" t="s">
        <v>42</v>
      </c>
      <c r="C77" s="3" t="s">
        <v>48</v>
      </c>
      <c r="D77" s="3">
        <v>2</v>
      </c>
      <c r="E77" s="4">
        <v>3722507.74</v>
      </c>
      <c r="F77" s="4">
        <v>1861253.87</v>
      </c>
      <c r="G77" s="4">
        <v>225961.78649999999</v>
      </c>
    </row>
    <row r="78" spans="1:7" x14ac:dyDescent="0.3">
      <c r="A78" s="3" t="s">
        <v>12</v>
      </c>
      <c r="B78" s="3" t="s">
        <v>36</v>
      </c>
      <c r="C78" s="3" t="s">
        <v>46</v>
      </c>
      <c r="D78" s="3">
        <v>1</v>
      </c>
      <c r="E78" s="4">
        <v>3471082.13</v>
      </c>
      <c r="F78" s="4">
        <v>3471082.13</v>
      </c>
      <c r="G78" s="4">
        <v>69421.642599999905</v>
      </c>
    </row>
    <row r="79" spans="1:7" x14ac:dyDescent="0.3">
      <c r="A79" s="3" t="s">
        <v>12</v>
      </c>
      <c r="B79" s="3" t="s">
        <v>36</v>
      </c>
      <c r="C79" s="3" t="s">
        <v>51</v>
      </c>
      <c r="D79" s="3">
        <v>1</v>
      </c>
      <c r="E79" s="4">
        <v>1069478.6299999999</v>
      </c>
      <c r="F79" s="4">
        <v>1069478.6299999999</v>
      </c>
      <c r="G79" s="4">
        <v>53473.931499999897</v>
      </c>
    </row>
    <row r="80" spans="1:7" x14ac:dyDescent="0.3">
      <c r="A80" s="3" t="s">
        <v>12</v>
      </c>
      <c r="B80" s="3" t="s">
        <v>21</v>
      </c>
      <c r="C80" s="3" t="s">
        <v>28</v>
      </c>
      <c r="D80" s="3">
        <v>1</v>
      </c>
      <c r="E80" s="4">
        <v>544468.81000000006</v>
      </c>
      <c r="F80" s="4">
        <v>544468.81000000006</v>
      </c>
      <c r="G80" s="4">
        <v>10889.376200000001</v>
      </c>
    </row>
    <row r="81" spans="1:7" x14ac:dyDescent="0.3">
      <c r="A81" s="3" t="s">
        <v>12</v>
      </c>
      <c r="B81" s="3" t="s">
        <v>11</v>
      </c>
      <c r="C81" s="3" t="s">
        <v>10</v>
      </c>
      <c r="D81" s="3">
        <v>2</v>
      </c>
      <c r="E81" s="4">
        <v>534021.41</v>
      </c>
      <c r="F81" s="4">
        <v>267010.7</v>
      </c>
      <c r="G81" s="4">
        <v>29650.2899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B3F18-51C7-4DF0-AE71-FB00059331C6}">
  <dimension ref="A1:E16"/>
  <sheetViews>
    <sheetView workbookViewId="0">
      <selection activeCell="E25" sqref="E25"/>
    </sheetView>
  </sheetViews>
  <sheetFormatPr defaultRowHeight="14.4" x14ac:dyDescent="0.3"/>
  <cols>
    <col min="1" max="1" width="22.109375" bestFit="1" customWidth="1"/>
    <col min="2" max="2" width="23.33203125" bestFit="1" customWidth="1"/>
    <col min="3" max="3" width="25.44140625" bestFit="1" customWidth="1"/>
    <col min="4" max="4" width="24" bestFit="1" customWidth="1"/>
    <col min="5" max="6" width="28.21875" bestFit="1" customWidth="1"/>
  </cols>
  <sheetData>
    <row r="1" spans="1:5" ht="20.399999999999999" x14ac:dyDescent="0.35">
      <c r="A1" s="9" t="s">
        <v>2</v>
      </c>
      <c r="B1" s="9" t="s">
        <v>59</v>
      </c>
      <c r="C1" s="9" t="s">
        <v>60</v>
      </c>
      <c r="D1" s="9" t="s">
        <v>61</v>
      </c>
      <c r="E1" s="9" t="s">
        <v>70</v>
      </c>
    </row>
    <row r="2" spans="1:5" x14ac:dyDescent="0.3">
      <c r="A2" s="1" t="s">
        <v>15</v>
      </c>
      <c r="B2" s="1">
        <v>18</v>
      </c>
      <c r="C2" s="1">
        <v>40609103.07</v>
      </c>
      <c r="D2" s="1">
        <v>1170605.3648999999</v>
      </c>
      <c r="E2" s="16">
        <f t="shared" ref="E2:E16" si="0">D2/C2*100</f>
        <v>2.8826181235329607</v>
      </c>
    </row>
    <row r="3" spans="1:5" x14ac:dyDescent="0.3">
      <c r="A3" s="1" t="s">
        <v>46</v>
      </c>
      <c r="B3" s="1">
        <v>13</v>
      </c>
      <c r="C3" s="1">
        <v>33256767.439999901</v>
      </c>
      <c r="D3" s="1">
        <v>1144953.1114999901</v>
      </c>
      <c r="E3" s="16">
        <f t="shared" si="0"/>
        <v>3.4427672910954255</v>
      </c>
    </row>
    <row r="4" spans="1:5" x14ac:dyDescent="0.3">
      <c r="A4" s="1" t="s">
        <v>41</v>
      </c>
      <c r="B4" s="1">
        <v>17</v>
      </c>
      <c r="C4" s="1">
        <v>32412430.850000001</v>
      </c>
      <c r="D4" s="1">
        <v>967246.21629999997</v>
      </c>
      <c r="E4" s="16">
        <f t="shared" si="0"/>
        <v>2.98418289197831</v>
      </c>
    </row>
    <row r="5" spans="1:5" x14ac:dyDescent="0.3">
      <c r="A5" s="1" t="s">
        <v>33</v>
      </c>
      <c r="B5" s="1">
        <v>16</v>
      </c>
      <c r="C5" s="1">
        <v>31222962.029999901</v>
      </c>
      <c r="D5" s="1">
        <v>829701.80779999995</v>
      </c>
      <c r="E5" s="16">
        <f t="shared" si="0"/>
        <v>2.6573449597856831</v>
      </c>
    </row>
    <row r="6" spans="1:5" x14ac:dyDescent="0.3">
      <c r="A6" s="1" t="s">
        <v>44</v>
      </c>
      <c r="B6" s="1">
        <v>15</v>
      </c>
      <c r="C6" s="1">
        <v>28723085.5499999</v>
      </c>
      <c r="D6" s="1">
        <v>1379005.8862000001</v>
      </c>
      <c r="E6" s="16">
        <f t="shared" si="0"/>
        <v>4.8010367263624465</v>
      </c>
    </row>
    <row r="7" spans="1:5" x14ac:dyDescent="0.3">
      <c r="A7" s="1" t="s">
        <v>24</v>
      </c>
      <c r="B7" s="1">
        <v>19</v>
      </c>
      <c r="C7" s="1">
        <v>28702268.249999899</v>
      </c>
      <c r="D7" s="1">
        <v>1810235.2374</v>
      </c>
      <c r="E7" s="16">
        <f t="shared" si="0"/>
        <v>6.306941394431453</v>
      </c>
    </row>
    <row r="8" spans="1:5" x14ac:dyDescent="0.3">
      <c r="A8" s="1" t="s">
        <v>53</v>
      </c>
      <c r="B8" s="1">
        <v>10</v>
      </c>
      <c r="C8" s="1">
        <v>27606205.289999899</v>
      </c>
      <c r="D8" s="1">
        <v>441512.9399</v>
      </c>
      <c r="E8" s="16">
        <f t="shared" si="0"/>
        <v>1.5993249896606911</v>
      </c>
    </row>
    <row r="9" spans="1:5" x14ac:dyDescent="0.3">
      <c r="A9" s="1" t="s">
        <v>38</v>
      </c>
      <c r="B9" s="1">
        <v>14</v>
      </c>
      <c r="C9" s="1">
        <v>27602889.68</v>
      </c>
      <c r="D9" s="1">
        <v>607892.8223</v>
      </c>
      <c r="E9" s="16">
        <f t="shared" si="0"/>
        <v>2.2022796502369673</v>
      </c>
    </row>
    <row r="10" spans="1:5" x14ac:dyDescent="0.3">
      <c r="A10" s="1" t="s">
        <v>48</v>
      </c>
      <c r="B10" s="1">
        <v>15</v>
      </c>
      <c r="C10" s="1">
        <v>27004595.5</v>
      </c>
      <c r="D10" s="1">
        <v>873540.57440000004</v>
      </c>
      <c r="E10" s="16">
        <f t="shared" si="0"/>
        <v>3.2347848883720554</v>
      </c>
    </row>
    <row r="11" spans="1:5" x14ac:dyDescent="0.3">
      <c r="A11" s="1" t="s">
        <v>35</v>
      </c>
      <c r="B11" s="1">
        <v>12</v>
      </c>
      <c r="C11" s="1">
        <v>26332485.370000001</v>
      </c>
      <c r="D11" s="1">
        <v>1446816.4992</v>
      </c>
      <c r="E11" s="16">
        <f t="shared" si="0"/>
        <v>5.494416796860067</v>
      </c>
    </row>
    <row r="12" spans="1:5" x14ac:dyDescent="0.3">
      <c r="A12" s="1" t="s">
        <v>20</v>
      </c>
      <c r="B12" s="1">
        <v>12</v>
      </c>
      <c r="C12" s="1">
        <v>22528899.599999901</v>
      </c>
      <c r="D12" s="1">
        <v>863107.36750000005</v>
      </c>
      <c r="E12" s="16">
        <f t="shared" si="0"/>
        <v>3.8311119620773839</v>
      </c>
    </row>
    <row r="13" spans="1:5" x14ac:dyDescent="0.3">
      <c r="A13" s="1" t="s">
        <v>28</v>
      </c>
      <c r="B13" s="1">
        <v>10</v>
      </c>
      <c r="C13" s="1">
        <v>21776190.370000001</v>
      </c>
      <c r="D13" s="1">
        <v>1317521.21419999</v>
      </c>
      <c r="E13" s="16">
        <f t="shared" si="0"/>
        <v>6.0502833223531827</v>
      </c>
    </row>
    <row r="14" spans="1:5" x14ac:dyDescent="0.3">
      <c r="A14" s="1" t="s">
        <v>51</v>
      </c>
      <c r="B14" s="1">
        <v>11</v>
      </c>
      <c r="C14" s="1">
        <v>20690226.5499999</v>
      </c>
      <c r="D14" s="1">
        <v>764008.82709999999</v>
      </c>
      <c r="E14" s="16">
        <f t="shared" si="0"/>
        <v>3.692607353784648</v>
      </c>
    </row>
    <row r="15" spans="1:5" x14ac:dyDescent="0.3">
      <c r="A15" s="1" t="s">
        <v>30</v>
      </c>
      <c r="B15" s="1">
        <v>8</v>
      </c>
      <c r="C15" s="1">
        <v>19702229.379999999</v>
      </c>
      <c r="D15" s="1">
        <v>968326.21580000001</v>
      </c>
      <c r="E15" s="16">
        <f t="shared" si="0"/>
        <v>4.9148053102201779</v>
      </c>
    </row>
    <row r="16" spans="1:5" x14ac:dyDescent="0.3">
      <c r="A16" s="1" t="s">
        <v>10</v>
      </c>
      <c r="B16" s="1">
        <v>10</v>
      </c>
      <c r="C16" s="1">
        <v>14409404.939999999</v>
      </c>
      <c r="D16" s="1">
        <v>300473.95280000003</v>
      </c>
      <c r="E16" s="16">
        <f t="shared" si="0"/>
        <v>2.0852627436813505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C24FE-96EA-4FDF-9F8D-45446E3A7D9C}">
  <dimension ref="A1:M201"/>
  <sheetViews>
    <sheetView workbookViewId="0">
      <selection activeCell="M5" sqref="M5"/>
    </sheetView>
  </sheetViews>
  <sheetFormatPr defaultRowHeight="14.4" x14ac:dyDescent="0.3"/>
  <cols>
    <col min="1" max="1" width="11.44140625" bestFit="1" customWidth="1"/>
    <col min="2" max="2" width="24.6640625" bestFit="1" customWidth="1"/>
    <col min="3" max="3" width="14.88671875" bestFit="1" customWidth="1"/>
    <col min="4" max="4" width="12.21875" bestFit="1" customWidth="1"/>
    <col min="5" max="5" width="9.33203125" bestFit="1" customWidth="1"/>
    <col min="6" max="6" width="24.88671875" bestFit="1" customWidth="1"/>
    <col min="7" max="7" width="22.21875" bestFit="1" customWidth="1"/>
    <col min="8" max="8" width="9.88671875" bestFit="1" customWidth="1"/>
    <col min="9" max="9" width="18.44140625" bestFit="1" customWidth="1"/>
    <col min="10" max="10" width="23.6640625" bestFit="1" customWidth="1"/>
  </cols>
  <sheetData>
    <row r="1" spans="1:13" ht="15.6" x14ac:dyDescent="0.3">
      <c r="A1" s="25" t="s">
        <v>0</v>
      </c>
      <c r="B1" s="25" t="s">
        <v>2</v>
      </c>
      <c r="C1" s="25" t="s">
        <v>3</v>
      </c>
      <c r="D1" s="25" t="s">
        <v>4</v>
      </c>
      <c r="E1" s="25" t="s">
        <v>5</v>
      </c>
      <c r="F1" s="25" t="s">
        <v>6</v>
      </c>
      <c r="G1" s="25" t="s">
        <v>7</v>
      </c>
      <c r="H1" s="25" t="s">
        <v>8</v>
      </c>
      <c r="I1" s="25" t="s">
        <v>79</v>
      </c>
      <c r="J1" s="25" t="s">
        <v>80</v>
      </c>
    </row>
    <row r="2" spans="1:13" ht="15.6" x14ac:dyDescent="0.3">
      <c r="A2" s="27">
        <v>45577</v>
      </c>
      <c r="B2" s="28" t="s">
        <v>15</v>
      </c>
      <c r="C2" s="28" t="s">
        <v>16</v>
      </c>
      <c r="D2" s="28" t="s">
        <v>49</v>
      </c>
      <c r="E2" s="28">
        <v>175</v>
      </c>
      <c r="F2" s="27">
        <v>45607</v>
      </c>
      <c r="G2" s="27">
        <v>45617</v>
      </c>
      <c r="H2" s="28" t="s">
        <v>18</v>
      </c>
      <c r="I2" s="28" t="s">
        <v>81</v>
      </c>
      <c r="J2" s="28">
        <v>10</v>
      </c>
    </row>
    <row r="3" spans="1:13" ht="15.6" x14ac:dyDescent="0.3">
      <c r="A3" s="27">
        <v>45648</v>
      </c>
      <c r="B3" s="28" t="s">
        <v>15</v>
      </c>
      <c r="C3" s="28" t="s">
        <v>16</v>
      </c>
      <c r="D3" s="28" t="s">
        <v>49</v>
      </c>
      <c r="E3" s="28">
        <v>312</v>
      </c>
      <c r="F3" s="27">
        <v>45669</v>
      </c>
      <c r="G3" s="28"/>
      <c r="H3" s="28" t="s">
        <v>54</v>
      </c>
      <c r="I3" s="28" t="s">
        <v>82</v>
      </c>
      <c r="J3" s="28">
        <v>0</v>
      </c>
    </row>
    <row r="4" spans="1:13" ht="15.6" x14ac:dyDescent="0.3">
      <c r="A4" s="27">
        <v>45622</v>
      </c>
      <c r="B4" s="28" t="s">
        <v>15</v>
      </c>
      <c r="C4" s="28" t="s">
        <v>16</v>
      </c>
      <c r="D4" s="28" t="s">
        <v>17</v>
      </c>
      <c r="E4" s="28">
        <v>114</v>
      </c>
      <c r="F4" s="27">
        <v>45652</v>
      </c>
      <c r="G4" s="27">
        <v>45652</v>
      </c>
      <c r="H4" s="28" t="s">
        <v>18</v>
      </c>
      <c r="I4" s="28" t="s">
        <v>83</v>
      </c>
      <c r="J4" s="28">
        <v>0</v>
      </c>
      <c r="M4" s="26"/>
    </row>
    <row r="5" spans="1:13" ht="15.6" x14ac:dyDescent="0.3">
      <c r="A5" s="27">
        <v>45594</v>
      </c>
      <c r="B5" s="28" t="s">
        <v>15</v>
      </c>
      <c r="C5" s="28" t="s">
        <v>16</v>
      </c>
      <c r="D5" s="28" t="s">
        <v>17</v>
      </c>
      <c r="E5" s="28">
        <v>18</v>
      </c>
      <c r="F5" s="27">
        <v>45624</v>
      </c>
      <c r="G5" s="27">
        <v>45624</v>
      </c>
      <c r="H5" s="28" t="s">
        <v>18</v>
      </c>
      <c r="I5" s="28" t="s">
        <v>83</v>
      </c>
      <c r="J5" s="28">
        <v>0</v>
      </c>
    </row>
    <row r="6" spans="1:13" ht="15.6" x14ac:dyDescent="0.3">
      <c r="A6" s="27">
        <v>45523</v>
      </c>
      <c r="B6" s="28" t="s">
        <v>15</v>
      </c>
      <c r="C6" s="28" t="s">
        <v>16</v>
      </c>
      <c r="D6" s="28" t="s">
        <v>39</v>
      </c>
      <c r="E6" s="28">
        <v>334</v>
      </c>
      <c r="F6" s="27">
        <v>45568</v>
      </c>
      <c r="G6" s="27">
        <v>45568</v>
      </c>
      <c r="H6" s="28" t="s">
        <v>18</v>
      </c>
      <c r="I6" s="28" t="s">
        <v>83</v>
      </c>
      <c r="J6" s="28">
        <v>0</v>
      </c>
    </row>
    <row r="7" spans="1:13" ht="15.6" x14ac:dyDescent="0.3">
      <c r="A7" s="27">
        <v>45412</v>
      </c>
      <c r="B7" s="28" t="s">
        <v>15</v>
      </c>
      <c r="C7" s="28" t="s">
        <v>16</v>
      </c>
      <c r="D7" s="28" t="s">
        <v>39</v>
      </c>
      <c r="E7" s="28">
        <v>387</v>
      </c>
      <c r="F7" s="27">
        <v>45433</v>
      </c>
      <c r="G7" s="28"/>
      <c r="H7" s="28" t="s">
        <v>31</v>
      </c>
      <c r="I7" s="28" t="s">
        <v>82</v>
      </c>
      <c r="J7" s="28">
        <v>0</v>
      </c>
    </row>
    <row r="8" spans="1:13" ht="15.6" x14ac:dyDescent="0.3">
      <c r="A8" s="27">
        <v>45412</v>
      </c>
      <c r="B8" s="28" t="s">
        <v>15</v>
      </c>
      <c r="C8" s="28" t="s">
        <v>16</v>
      </c>
      <c r="D8" s="28" t="s">
        <v>39</v>
      </c>
      <c r="E8" s="28">
        <v>385</v>
      </c>
      <c r="F8" s="27">
        <v>45457</v>
      </c>
      <c r="G8" s="27">
        <v>45457</v>
      </c>
      <c r="H8" s="28" t="s">
        <v>18</v>
      </c>
      <c r="I8" s="28" t="s">
        <v>83</v>
      </c>
      <c r="J8" s="28">
        <v>0</v>
      </c>
    </row>
    <row r="9" spans="1:13" ht="15.6" x14ac:dyDescent="0.3">
      <c r="A9" s="27">
        <v>45626</v>
      </c>
      <c r="B9" s="28" t="s">
        <v>15</v>
      </c>
      <c r="C9" s="28" t="s">
        <v>16</v>
      </c>
      <c r="D9" s="28" t="s">
        <v>39</v>
      </c>
      <c r="E9" s="28">
        <v>331</v>
      </c>
      <c r="F9" s="27">
        <v>45633</v>
      </c>
      <c r="G9" s="27">
        <v>45633</v>
      </c>
      <c r="H9" s="28" t="s">
        <v>18</v>
      </c>
      <c r="I9" s="28" t="s">
        <v>83</v>
      </c>
      <c r="J9" s="28">
        <v>0</v>
      </c>
    </row>
    <row r="10" spans="1:13" ht="15.6" x14ac:dyDescent="0.3">
      <c r="A10" s="27">
        <v>45364</v>
      </c>
      <c r="B10" s="28" t="s">
        <v>15</v>
      </c>
      <c r="C10" s="28" t="s">
        <v>16</v>
      </c>
      <c r="D10" s="28" t="s">
        <v>26</v>
      </c>
      <c r="E10" s="28">
        <v>375</v>
      </c>
      <c r="F10" s="27">
        <v>45378</v>
      </c>
      <c r="G10" s="28"/>
      <c r="H10" s="28" t="s">
        <v>54</v>
      </c>
      <c r="I10" s="28" t="s">
        <v>82</v>
      </c>
      <c r="J10" s="28">
        <v>0</v>
      </c>
    </row>
    <row r="11" spans="1:13" ht="15.6" x14ac:dyDescent="0.3">
      <c r="A11" s="27">
        <v>45372</v>
      </c>
      <c r="B11" s="28" t="s">
        <v>15</v>
      </c>
      <c r="C11" s="28" t="s">
        <v>16</v>
      </c>
      <c r="D11" s="28" t="s">
        <v>26</v>
      </c>
      <c r="E11" s="28">
        <v>123</v>
      </c>
      <c r="F11" s="27">
        <v>45379</v>
      </c>
      <c r="G11" s="27">
        <v>45379</v>
      </c>
      <c r="H11" s="28" t="s">
        <v>18</v>
      </c>
      <c r="I11" s="28" t="s">
        <v>83</v>
      </c>
      <c r="J11" s="28">
        <v>0</v>
      </c>
    </row>
    <row r="12" spans="1:13" ht="15.6" x14ac:dyDescent="0.3">
      <c r="A12" s="27">
        <v>45375</v>
      </c>
      <c r="B12" s="28" t="s">
        <v>15</v>
      </c>
      <c r="C12" s="28" t="s">
        <v>16</v>
      </c>
      <c r="D12" s="28" t="s">
        <v>26</v>
      </c>
      <c r="E12" s="28">
        <v>495</v>
      </c>
      <c r="F12" s="27">
        <v>45396</v>
      </c>
      <c r="G12" s="27">
        <v>45397</v>
      </c>
      <c r="H12" s="28" t="s">
        <v>18</v>
      </c>
      <c r="I12" s="28" t="s">
        <v>81</v>
      </c>
      <c r="J12" s="28">
        <v>1</v>
      </c>
    </row>
    <row r="13" spans="1:13" ht="15.6" x14ac:dyDescent="0.3">
      <c r="A13" s="27">
        <v>45387</v>
      </c>
      <c r="B13" s="28" t="s">
        <v>15</v>
      </c>
      <c r="C13" s="28" t="s">
        <v>16</v>
      </c>
      <c r="D13" s="28" t="s">
        <v>22</v>
      </c>
      <c r="E13" s="28">
        <v>487</v>
      </c>
      <c r="F13" s="27">
        <v>45394</v>
      </c>
      <c r="G13" s="27">
        <v>45394</v>
      </c>
      <c r="H13" s="28" t="s">
        <v>18</v>
      </c>
      <c r="I13" s="28" t="s">
        <v>83</v>
      </c>
      <c r="J13" s="28">
        <v>0</v>
      </c>
    </row>
    <row r="14" spans="1:13" ht="15.6" x14ac:dyDescent="0.3">
      <c r="A14" s="27">
        <v>45394</v>
      </c>
      <c r="B14" s="28" t="s">
        <v>15</v>
      </c>
      <c r="C14" s="28" t="s">
        <v>16</v>
      </c>
      <c r="D14" s="28" t="s">
        <v>22</v>
      </c>
      <c r="E14" s="28">
        <v>193</v>
      </c>
      <c r="F14" s="27">
        <v>45408</v>
      </c>
      <c r="G14" s="27">
        <v>45408</v>
      </c>
      <c r="H14" s="28" t="s">
        <v>18</v>
      </c>
      <c r="I14" s="28" t="s">
        <v>83</v>
      </c>
      <c r="J14" s="28">
        <v>0</v>
      </c>
    </row>
    <row r="15" spans="1:13" ht="15.6" x14ac:dyDescent="0.3">
      <c r="A15" s="27">
        <v>45364</v>
      </c>
      <c r="B15" s="28" t="s">
        <v>15</v>
      </c>
      <c r="C15" s="28" t="s">
        <v>16</v>
      </c>
      <c r="D15" s="28" t="s">
        <v>22</v>
      </c>
      <c r="E15" s="28">
        <v>179</v>
      </c>
      <c r="F15" s="27">
        <v>45371</v>
      </c>
      <c r="G15" s="27">
        <v>45371</v>
      </c>
      <c r="H15" s="28" t="s">
        <v>18</v>
      </c>
      <c r="I15" s="28" t="s">
        <v>83</v>
      </c>
      <c r="J15" s="28">
        <v>0</v>
      </c>
    </row>
    <row r="16" spans="1:13" ht="15.6" x14ac:dyDescent="0.3">
      <c r="A16" s="27">
        <v>45530</v>
      </c>
      <c r="B16" s="28" t="s">
        <v>15</v>
      </c>
      <c r="C16" s="28" t="s">
        <v>16</v>
      </c>
      <c r="D16" s="28" t="s">
        <v>22</v>
      </c>
      <c r="E16" s="28">
        <v>332</v>
      </c>
      <c r="F16" s="27">
        <v>45551</v>
      </c>
      <c r="G16" s="27">
        <v>45554</v>
      </c>
      <c r="H16" s="28" t="s">
        <v>18</v>
      </c>
      <c r="I16" s="28" t="s">
        <v>81</v>
      </c>
      <c r="J16" s="28">
        <v>3</v>
      </c>
    </row>
    <row r="17" spans="1:10" ht="15.6" x14ac:dyDescent="0.3">
      <c r="A17" s="27">
        <v>45335</v>
      </c>
      <c r="B17" s="28" t="s">
        <v>15</v>
      </c>
      <c r="C17" s="28" t="s">
        <v>16</v>
      </c>
      <c r="D17" s="28" t="s">
        <v>12</v>
      </c>
      <c r="E17" s="28">
        <v>289</v>
      </c>
      <c r="F17" s="27">
        <v>45342</v>
      </c>
      <c r="G17" s="27">
        <v>45351</v>
      </c>
      <c r="H17" s="28" t="s">
        <v>18</v>
      </c>
      <c r="I17" s="28" t="s">
        <v>81</v>
      </c>
      <c r="J17" s="28">
        <v>9</v>
      </c>
    </row>
    <row r="18" spans="1:10" ht="15.6" x14ac:dyDescent="0.3">
      <c r="A18" s="27">
        <v>45316</v>
      </c>
      <c r="B18" s="28" t="s">
        <v>15</v>
      </c>
      <c r="C18" s="28" t="s">
        <v>16</v>
      </c>
      <c r="D18" s="28" t="s">
        <v>12</v>
      </c>
      <c r="E18" s="28">
        <v>468</v>
      </c>
      <c r="F18" s="27">
        <v>45330</v>
      </c>
      <c r="G18" s="27">
        <v>45330</v>
      </c>
      <c r="H18" s="28" t="s">
        <v>18</v>
      </c>
      <c r="I18" s="28" t="s">
        <v>83</v>
      </c>
      <c r="J18" s="28">
        <v>0</v>
      </c>
    </row>
    <row r="19" spans="1:10" ht="15.6" x14ac:dyDescent="0.3">
      <c r="A19" s="27">
        <v>45654</v>
      </c>
      <c r="B19" s="28" t="s">
        <v>15</v>
      </c>
      <c r="C19" s="28" t="s">
        <v>16</v>
      </c>
      <c r="D19" s="28" t="s">
        <v>12</v>
      </c>
      <c r="E19" s="28">
        <v>331</v>
      </c>
      <c r="F19" s="27">
        <v>45668</v>
      </c>
      <c r="G19" s="27">
        <v>45668</v>
      </c>
      <c r="H19" s="28" t="s">
        <v>18</v>
      </c>
      <c r="I19" s="28" t="s">
        <v>83</v>
      </c>
      <c r="J19" s="28">
        <v>0</v>
      </c>
    </row>
    <row r="20" spans="1:10" ht="15.6" x14ac:dyDescent="0.3">
      <c r="A20" s="27">
        <v>45453</v>
      </c>
      <c r="B20" s="28" t="s">
        <v>24</v>
      </c>
      <c r="C20" s="28" t="s">
        <v>25</v>
      </c>
      <c r="D20" s="28" t="s">
        <v>49</v>
      </c>
      <c r="E20" s="28">
        <v>72</v>
      </c>
      <c r="F20" s="27">
        <v>45474</v>
      </c>
      <c r="G20" s="27">
        <v>45474</v>
      </c>
      <c r="H20" s="28" t="s">
        <v>18</v>
      </c>
      <c r="I20" s="28" t="s">
        <v>83</v>
      </c>
      <c r="J20" s="28">
        <v>0</v>
      </c>
    </row>
    <row r="21" spans="1:10" ht="15.6" x14ac:dyDescent="0.3">
      <c r="A21" s="27">
        <v>45574</v>
      </c>
      <c r="B21" s="28" t="s">
        <v>24</v>
      </c>
      <c r="C21" s="28" t="s">
        <v>25</v>
      </c>
      <c r="D21" s="28" t="s">
        <v>17</v>
      </c>
      <c r="E21" s="28">
        <v>151</v>
      </c>
      <c r="F21" s="27">
        <v>45604</v>
      </c>
      <c r="G21" s="27">
        <v>45604</v>
      </c>
      <c r="H21" s="28" t="s">
        <v>18</v>
      </c>
      <c r="I21" s="28" t="s">
        <v>83</v>
      </c>
      <c r="J21" s="28">
        <v>0</v>
      </c>
    </row>
    <row r="22" spans="1:10" ht="15.6" x14ac:dyDescent="0.3">
      <c r="A22" s="27">
        <v>45483</v>
      </c>
      <c r="B22" s="28" t="s">
        <v>24</v>
      </c>
      <c r="C22" s="28" t="s">
        <v>25</v>
      </c>
      <c r="D22" s="28" t="s">
        <v>17</v>
      </c>
      <c r="E22" s="28">
        <v>481</v>
      </c>
      <c r="F22" s="27">
        <v>45497</v>
      </c>
      <c r="G22" s="27">
        <v>45497</v>
      </c>
      <c r="H22" s="28" t="s">
        <v>18</v>
      </c>
      <c r="I22" s="28" t="s">
        <v>83</v>
      </c>
      <c r="J22" s="28">
        <v>0</v>
      </c>
    </row>
    <row r="23" spans="1:10" ht="15.6" x14ac:dyDescent="0.3">
      <c r="A23" s="27">
        <v>45531</v>
      </c>
      <c r="B23" s="28" t="s">
        <v>24</v>
      </c>
      <c r="C23" s="28" t="s">
        <v>25</v>
      </c>
      <c r="D23" s="28" t="s">
        <v>17</v>
      </c>
      <c r="E23" s="28">
        <v>259</v>
      </c>
      <c r="F23" s="27">
        <v>45561</v>
      </c>
      <c r="G23" s="28"/>
      <c r="H23" s="28" t="s">
        <v>54</v>
      </c>
      <c r="I23" s="28" t="s">
        <v>82</v>
      </c>
      <c r="J23" s="28">
        <v>0</v>
      </c>
    </row>
    <row r="24" spans="1:10" ht="15.6" x14ac:dyDescent="0.3">
      <c r="A24" s="27">
        <v>45506</v>
      </c>
      <c r="B24" s="28" t="s">
        <v>24</v>
      </c>
      <c r="C24" s="28" t="s">
        <v>25</v>
      </c>
      <c r="D24" s="28" t="s">
        <v>26</v>
      </c>
      <c r="E24" s="28">
        <v>415</v>
      </c>
      <c r="F24" s="27">
        <v>45520</v>
      </c>
      <c r="G24" s="28"/>
      <c r="H24" s="28" t="s">
        <v>54</v>
      </c>
      <c r="I24" s="28" t="s">
        <v>82</v>
      </c>
      <c r="J24" s="28">
        <v>0</v>
      </c>
    </row>
    <row r="25" spans="1:10" ht="15.6" x14ac:dyDescent="0.3">
      <c r="A25" s="27">
        <v>45355</v>
      </c>
      <c r="B25" s="28" t="s">
        <v>24</v>
      </c>
      <c r="C25" s="28" t="s">
        <v>25</v>
      </c>
      <c r="D25" s="28" t="s">
        <v>26</v>
      </c>
      <c r="E25" s="28">
        <v>190</v>
      </c>
      <c r="F25" s="27">
        <v>45385</v>
      </c>
      <c r="G25" s="27">
        <v>45395</v>
      </c>
      <c r="H25" s="28" t="s">
        <v>18</v>
      </c>
      <c r="I25" s="28" t="s">
        <v>81</v>
      </c>
      <c r="J25" s="28">
        <v>10</v>
      </c>
    </row>
    <row r="26" spans="1:10" ht="15.6" x14ac:dyDescent="0.3">
      <c r="A26" s="27">
        <v>45459</v>
      </c>
      <c r="B26" s="28" t="s">
        <v>24</v>
      </c>
      <c r="C26" s="28" t="s">
        <v>25</v>
      </c>
      <c r="D26" s="28" t="s">
        <v>26</v>
      </c>
      <c r="E26" s="28">
        <v>159</v>
      </c>
      <c r="F26" s="27">
        <v>45504</v>
      </c>
      <c r="G26" s="27">
        <v>45513</v>
      </c>
      <c r="H26" s="28" t="s">
        <v>18</v>
      </c>
      <c r="I26" s="28" t="s">
        <v>81</v>
      </c>
      <c r="J26" s="28">
        <v>9</v>
      </c>
    </row>
    <row r="27" spans="1:10" ht="15.6" x14ac:dyDescent="0.3">
      <c r="A27" s="27">
        <v>45653</v>
      </c>
      <c r="B27" s="28" t="s">
        <v>24</v>
      </c>
      <c r="C27" s="28" t="s">
        <v>25</v>
      </c>
      <c r="D27" s="28" t="s">
        <v>26</v>
      </c>
      <c r="E27" s="28">
        <v>79</v>
      </c>
      <c r="F27" s="27">
        <v>45674</v>
      </c>
      <c r="G27" s="27">
        <v>45674</v>
      </c>
      <c r="H27" s="28" t="s">
        <v>18</v>
      </c>
      <c r="I27" s="28" t="s">
        <v>83</v>
      </c>
      <c r="J27" s="28">
        <v>0</v>
      </c>
    </row>
    <row r="28" spans="1:10" ht="15.6" x14ac:dyDescent="0.3">
      <c r="A28" s="27">
        <v>45625</v>
      </c>
      <c r="B28" s="28" t="s">
        <v>24</v>
      </c>
      <c r="C28" s="28" t="s">
        <v>25</v>
      </c>
      <c r="D28" s="28" t="s">
        <v>26</v>
      </c>
      <c r="E28" s="28">
        <v>97</v>
      </c>
      <c r="F28" s="27">
        <v>45655</v>
      </c>
      <c r="G28" s="28"/>
      <c r="H28" s="28" t="s">
        <v>31</v>
      </c>
      <c r="I28" s="28" t="s">
        <v>82</v>
      </c>
      <c r="J28" s="28">
        <v>0</v>
      </c>
    </row>
    <row r="29" spans="1:10" ht="15.6" x14ac:dyDescent="0.3">
      <c r="A29" s="27">
        <v>45539</v>
      </c>
      <c r="B29" s="28" t="s">
        <v>24</v>
      </c>
      <c r="C29" s="28" t="s">
        <v>25</v>
      </c>
      <c r="D29" s="28" t="s">
        <v>22</v>
      </c>
      <c r="E29" s="28">
        <v>450</v>
      </c>
      <c r="F29" s="27">
        <v>45560</v>
      </c>
      <c r="G29" s="27">
        <v>45578</v>
      </c>
      <c r="H29" s="28" t="s">
        <v>18</v>
      </c>
      <c r="I29" s="28" t="s">
        <v>81</v>
      </c>
      <c r="J29" s="28">
        <v>18</v>
      </c>
    </row>
    <row r="30" spans="1:10" ht="15.6" x14ac:dyDescent="0.3">
      <c r="A30" s="27">
        <v>45329</v>
      </c>
      <c r="B30" s="28" t="s">
        <v>24</v>
      </c>
      <c r="C30" s="28" t="s">
        <v>25</v>
      </c>
      <c r="D30" s="28" t="s">
        <v>22</v>
      </c>
      <c r="E30" s="28">
        <v>44</v>
      </c>
      <c r="F30" s="27">
        <v>45350</v>
      </c>
      <c r="G30" s="27">
        <v>45354</v>
      </c>
      <c r="H30" s="28" t="s">
        <v>18</v>
      </c>
      <c r="I30" s="28" t="s">
        <v>81</v>
      </c>
      <c r="J30" s="28">
        <v>4</v>
      </c>
    </row>
    <row r="31" spans="1:10" ht="15.6" x14ac:dyDescent="0.3">
      <c r="A31" s="27">
        <v>45458</v>
      </c>
      <c r="B31" s="28" t="s">
        <v>24</v>
      </c>
      <c r="C31" s="28" t="s">
        <v>25</v>
      </c>
      <c r="D31" s="28" t="s">
        <v>22</v>
      </c>
      <c r="E31" s="28">
        <v>180</v>
      </c>
      <c r="F31" s="27">
        <v>45488</v>
      </c>
      <c r="G31" s="27">
        <v>45493</v>
      </c>
      <c r="H31" s="28" t="s">
        <v>18</v>
      </c>
      <c r="I31" s="28" t="s">
        <v>81</v>
      </c>
      <c r="J31" s="28">
        <v>5</v>
      </c>
    </row>
    <row r="32" spans="1:10" ht="15.6" x14ac:dyDescent="0.3">
      <c r="A32" s="27">
        <v>45525</v>
      </c>
      <c r="B32" s="28" t="s">
        <v>24</v>
      </c>
      <c r="C32" s="28" t="s">
        <v>25</v>
      </c>
      <c r="D32" s="28" t="s">
        <v>22</v>
      </c>
      <c r="E32" s="28">
        <v>168</v>
      </c>
      <c r="F32" s="27">
        <v>45539</v>
      </c>
      <c r="G32" s="27">
        <v>45555</v>
      </c>
      <c r="H32" s="28" t="s">
        <v>18</v>
      </c>
      <c r="I32" s="28" t="s">
        <v>81</v>
      </c>
      <c r="J32" s="28">
        <v>16</v>
      </c>
    </row>
    <row r="33" spans="1:10" ht="15.6" x14ac:dyDescent="0.3">
      <c r="A33" s="27">
        <v>45313</v>
      </c>
      <c r="B33" s="28" t="s">
        <v>24</v>
      </c>
      <c r="C33" s="28" t="s">
        <v>25</v>
      </c>
      <c r="D33" s="28" t="s">
        <v>22</v>
      </c>
      <c r="E33" s="28">
        <v>297</v>
      </c>
      <c r="F33" s="27">
        <v>45343</v>
      </c>
      <c r="G33" s="28"/>
      <c r="H33" s="28" t="s">
        <v>31</v>
      </c>
      <c r="I33" s="28" t="s">
        <v>82</v>
      </c>
      <c r="J33" s="28">
        <v>0</v>
      </c>
    </row>
    <row r="34" spans="1:10" ht="15.6" x14ac:dyDescent="0.3">
      <c r="A34" s="27">
        <v>45405</v>
      </c>
      <c r="B34" s="28" t="s">
        <v>24</v>
      </c>
      <c r="C34" s="28" t="s">
        <v>25</v>
      </c>
      <c r="D34" s="28" t="s">
        <v>22</v>
      </c>
      <c r="E34" s="28">
        <v>471</v>
      </c>
      <c r="F34" s="27">
        <v>45435</v>
      </c>
      <c r="G34" s="27">
        <v>45443</v>
      </c>
      <c r="H34" s="28" t="s">
        <v>18</v>
      </c>
      <c r="I34" s="28" t="s">
        <v>81</v>
      </c>
      <c r="J34" s="28">
        <v>8</v>
      </c>
    </row>
    <row r="35" spans="1:10" ht="15.6" x14ac:dyDescent="0.3">
      <c r="A35" s="27">
        <v>45444</v>
      </c>
      <c r="B35" s="28" t="s">
        <v>24</v>
      </c>
      <c r="C35" s="28" t="s">
        <v>25</v>
      </c>
      <c r="D35" s="28" t="s">
        <v>12</v>
      </c>
      <c r="E35" s="28">
        <v>157</v>
      </c>
      <c r="F35" s="27">
        <v>45458</v>
      </c>
      <c r="G35" s="28"/>
      <c r="H35" s="28" t="s">
        <v>31</v>
      </c>
      <c r="I35" s="28" t="s">
        <v>82</v>
      </c>
      <c r="J35" s="28">
        <v>0</v>
      </c>
    </row>
    <row r="36" spans="1:10" ht="15.6" x14ac:dyDescent="0.3">
      <c r="A36" s="27">
        <v>45479</v>
      </c>
      <c r="B36" s="28" t="s">
        <v>24</v>
      </c>
      <c r="C36" s="28" t="s">
        <v>25</v>
      </c>
      <c r="D36" s="28" t="s">
        <v>12</v>
      </c>
      <c r="E36" s="28">
        <v>427</v>
      </c>
      <c r="F36" s="27">
        <v>45524</v>
      </c>
      <c r="G36" s="27">
        <v>45524</v>
      </c>
      <c r="H36" s="28" t="s">
        <v>18</v>
      </c>
      <c r="I36" s="28" t="s">
        <v>83</v>
      </c>
      <c r="J36" s="28">
        <v>0</v>
      </c>
    </row>
    <row r="37" spans="1:10" ht="15.6" x14ac:dyDescent="0.3">
      <c r="A37" s="27">
        <v>45602</v>
      </c>
      <c r="B37" s="28" t="s">
        <v>24</v>
      </c>
      <c r="C37" s="28" t="s">
        <v>25</v>
      </c>
      <c r="D37" s="28" t="s">
        <v>12</v>
      </c>
      <c r="E37" s="28">
        <v>480</v>
      </c>
      <c r="F37" s="27">
        <v>45632</v>
      </c>
      <c r="G37" s="28"/>
      <c r="H37" s="28" t="s">
        <v>31</v>
      </c>
      <c r="I37" s="28" t="s">
        <v>82</v>
      </c>
      <c r="J37" s="28">
        <v>0</v>
      </c>
    </row>
    <row r="38" spans="1:10" ht="15.6" x14ac:dyDescent="0.3">
      <c r="A38" s="27">
        <v>45302</v>
      </c>
      <c r="B38" s="28" t="s">
        <v>24</v>
      </c>
      <c r="C38" s="28" t="s">
        <v>25</v>
      </c>
      <c r="D38" s="28" t="s">
        <v>12</v>
      </c>
      <c r="E38" s="28">
        <v>27</v>
      </c>
      <c r="F38" s="27">
        <v>45332</v>
      </c>
      <c r="G38" s="28"/>
      <c r="H38" s="28" t="s">
        <v>54</v>
      </c>
      <c r="I38" s="28" t="s">
        <v>82</v>
      </c>
      <c r="J38" s="28">
        <v>0</v>
      </c>
    </row>
    <row r="39" spans="1:10" ht="15.6" x14ac:dyDescent="0.3">
      <c r="A39" s="27">
        <v>45324</v>
      </c>
      <c r="B39" s="28" t="s">
        <v>33</v>
      </c>
      <c r="C39" s="28" t="s">
        <v>16</v>
      </c>
      <c r="D39" s="28" t="s">
        <v>49</v>
      </c>
      <c r="E39" s="28">
        <v>483</v>
      </c>
      <c r="F39" s="27">
        <v>45369</v>
      </c>
      <c r="G39" s="28"/>
      <c r="H39" s="28" t="s">
        <v>31</v>
      </c>
      <c r="I39" s="28" t="s">
        <v>82</v>
      </c>
      <c r="J39" s="28">
        <v>0</v>
      </c>
    </row>
    <row r="40" spans="1:10" ht="15.6" x14ac:dyDescent="0.3">
      <c r="A40" s="27">
        <v>45352</v>
      </c>
      <c r="B40" s="28" t="s">
        <v>33</v>
      </c>
      <c r="C40" s="28" t="s">
        <v>16</v>
      </c>
      <c r="D40" s="28" t="s">
        <v>17</v>
      </c>
      <c r="E40" s="28">
        <v>361</v>
      </c>
      <c r="F40" s="27">
        <v>45382</v>
      </c>
      <c r="G40" s="28"/>
      <c r="H40" s="28" t="s">
        <v>31</v>
      </c>
      <c r="I40" s="28" t="s">
        <v>82</v>
      </c>
      <c r="J40" s="28">
        <v>0</v>
      </c>
    </row>
    <row r="41" spans="1:10" ht="15.6" x14ac:dyDescent="0.3">
      <c r="A41" s="27">
        <v>45445</v>
      </c>
      <c r="B41" s="28" t="s">
        <v>33</v>
      </c>
      <c r="C41" s="28" t="s">
        <v>16</v>
      </c>
      <c r="D41" s="28" t="s">
        <v>17</v>
      </c>
      <c r="E41" s="28">
        <v>79</v>
      </c>
      <c r="F41" s="27">
        <v>45452</v>
      </c>
      <c r="G41" s="27">
        <v>45452</v>
      </c>
      <c r="H41" s="28" t="s">
        <v>18</v>
      </c>
      <c r="I41" s="28" t="s">
        <v>83</v>
      </c>
      <c r="J41" s="28">
        <v>0</v>
      </c>
    </row>
    <row r="42" spans="1:10" ht="15.6" x14ac:dyDescent="0.3">
      <c r="A42" s="27">
        <v>45332</v>
      </c>
      <c r="B42" s="28" t="s">
        <v>33</v>
      </c>
      <c r="C42" s="28" t="s">
        <v>16</v>
      </c>
      <c r="D42" s="28" t="s">
        <v>17</v>
      </c>
      <c r="E42" s="28">
        <v>340</v>
      </c>
      <c r="F42" s="27">
        <v>45353</v>
      </c>
      <c r="G42" s="28"/>
      <c r="H42" s="28" t="s">
        <v>31</v>
      </c>
      <c r="I42" s="28" t="s">
        <v>82</v>
      </c>
      <c r="J42" s="28">
        <v>0</v>
      </c>
    </row>
    <row r="43" spans="1:10" ht="15.6" x14ac:dyDescent="0.3">
      <c r="A43" s="27">
        <v>45559</v>
      </c>
      <c r="B43" s="28" t="s">
        <v>33</v>
      </c>
      <c r="C43" s="28" t="s">
        <v>16</v>
      </c>
      <c r="D43" s="28" t="s">
        <v>17</v>
      </c>
      <c r="E43" s="28">
        <v>427</v>
      </c>
      <c r="F43" s="27">
        <v>45580</v>
      </c>
      <c r="G43" s="27">
        <v>45580</v>
      </c>
      <c r="H43" s="28" t="s">
        <v>18</v>
      </c>
      <c r="I43" s="28" t="s">
        <v>83</v>
      </c>
      <c r="J43" s="28">
        <v>0</v>
      </c>
    </row>
    <row r="44" spans="1:10" ht="15.6" x14ac:dyDescent="0.3">
      <c r="A44" s="27">
        <v>45409</v>
      </c>
      <c r="B44" s="28" t="s">
        <v>33</v>
      </c>
      <c r="C44" s="28" t="s">
        <v>16</v>
      </c>
      <c r="D44" s="28" t="s">
        <v>39</v>
      </c>
      <c r="E44" s="28">
        <v>446</v>
      </c>
      <c r="F44" s="27">
        <v>45454</v>
      </c>
      <c r="G44" s="27">
        <v>45454</v>
      </c>
      <c r="H44" s="28" t="s">
        <v>18</v>
      </c>
      <c r="I44" s="28" t="s">
        <v>83</v>
      </c>
      <c r="J44" s="28">
        <v>0</v>
      </c>
    </row>
    <row r="45" spans="1:10" ht="15.6" x14ac:dyDescent="0.3">
      <c r="A45" s="27">
        <v>45443</v>
      </c>
      <c r="B45" s="28" t="s">
        <v>33</v>
      </c>
      <c r="C45" s="28" t="s">
        <v>16</v>
      </c>
      <c r="D45" s="28" t="s">
        <v>39</v>
      </c>
      <c r="E45" s="28">
        <v>467</v>
      </c>
      <c r="F45" s="27">
        <v>45488</v>
      </c>
      <c r="G45" s="27">
        <v>45490</v>
      </c>
      <c r="H45" s="28" t="s">
        <v>18</v>
      </c>
      <c r="I45" s="28" t="s">
        <v>81</v>
      </c>
      <c r="J45" s="28">
        <v>2</v>
      </c>
    </row>
    <row r="46" spans="1:10" ht="15.6" x14ac:dyDescent="0.3">
      <c r="A46" s="27">
        <v>45568</v>
      </c>
      <c r="B46" s="28" t="s">
        <v>33</v>
      </c>
      <c r="C46" s="28" t="s">
        <v>16</v>
      </c>
      <c r="D46" s="28" t="s">
        <v>26</v>
      </c>
      <c r="E46" s="28">
        <v>184</v>
      </c>
      <c r="F46" s="27">
        <v>45575</v>
      </c>
      <c r="G46" s="28"/>
      <c r="H46" s="28" t="s">
        <v>31</v>
      </c>
      <c r="I46" s="28" t="s">
        <v>82</v>
      </c>
      <c r="J46" s="28">
        <v>0</v>
      </c>
    </row>
    <row r="47" spans="1:10" ht="15.6" x14ac:dyDescent="0.3">
      <c r="A47" s="27">
        <v>45579</v>
      </c>
      <c r="B47" s="28" t="s">
        <v>33</v>
      </c>
      <c r="C47" s="28" t="s">
        <v>16</v>
      </c>
      <c r="D47" s="28" t="s">
        <v>26</v>
      </c>
      <c r="E47" s="28">
        <v>117</v>
      </c>
      <c r="F47" s="27">
        <v>45624</v>
      </c>
      <c r="G47" s="27">
        <v>45624</v>
      </c>
      <c r="H47" s="28" t="s">
        <v>18</v>
      </c>
      <c r="I47" s="28" t="s">
        <v>83</v>
      </c>
      <c r="J47" s="28">
        <v>0</v>
      </c>
    </row>
    <row r="48" spans="1:10" ht="15.6" x14ac:dyDescent="0.3">
      <c r="A48" s="27">
        <v>45519</v>
      </c>
      <c r="B48" s="28" t="s">
        <v>33</v>
      </c>
      <c r="C48" s="28" t="s">
        <v>16</v>
      </c>
      <c r="D48" s="28" t="s">
        <v>26</v>
      </c>
      <c r="E48" s="28">
        <v>227</v>
      </c>
      <c r="F48" s="27">
        <v>45540</v>
      </c>
      <c r="G48" s="27">
        <v>45543</v>
      </c>
      <c r="H48" s="28" t="s">
        <v>18</v>
      </c>
      <c r="I48" s="28" t="s">
        <v>81</v>
      </c>
      <c r="J48" s="28">
        <v>3</v>
      </c>
    </row>
    <row r="49" spans="1:10" ht="15.6" x14ac:dyDescent="0.3">
      <c r="A49" s="27">
        <v>45518</v>
      </c>
      <c r="B49" s="28" t="s">
        <v>33</v>
      </c>
      <c r="C49" s="28" t="s">
        <v>16</v>
      </c>
      <c r="D49" s="28" t="s">
        <v>22</v>
      </c>
      <c r="E49" s="28">
        <v>292</v>
      </c>
      <c r="F49" s="27">
        <v>45563</v>
      </c>
      <c r="G49" s="28"/>
      <c r="H49" s="28" t="s">
        <v>13</v>
      </c>
      <c r="I49" s="28" t="s">
        <v>82</v>
      </c>
      <c r="J49" s="28">
        <v>0</v>
      </c>
    </row>
    <row r="50" spans="1:10" ht="15.6" x14ac:dyDescent="0.3">
      <c r="A50" s="27">
        <v>45401</v>
      </c>
      <c r="B50" s="28" t="s">
        <v>33</v>
      </c>
      <c r="C50" s="28" t="s">
        <v>16</v>
      </c>
      <c r="D50" s="28" t="s">
        <v>22</v>
      </c>
      <c r="E50" s="28">
        <v>110</v>
      </c>
      <c r="F50" s="27">
        <v>45408</v>
      </c>
      <c r="G50" s="27">
        <v>45408</v>
      </c>
      <c r="H50" s="28" t="s">
        <v>18</v>
      </c>
      <c r="I50" s="28" t="s">
        <v>83</v>
      </c>
      <c r="J50" s="28">
        <v>0</v>
      </c>
    </row>
    <row r="51" spans="1:10" ht="15.6" x14ac:dyDescent="0.3">
      <c r="A51" s="27">
        <v>45615</v>
      </c>
      <c r="B51" s="28" t="s">
        <v>33</v>
      </c>
      <c r="C51" s="28" t="s">
        <v>16</v>
      </c>
      <c r="D51" s="28" t="s">
        <v>22</v>
      </c>
      <c r="E51" s="28">
        <v>126</v>
      </c>
      <c r="F51" s="27">
        <v>45622</v>
      </c>
      <c r="G51" s="27">
        <v>45622</v>
      </c>
      <c r="H51" s="28" t="s">
        <v>18</v>
      </c>
      <c r="I51" s="28" t="s">
        <v>83</v>
      </c>
      <c r="J51" s="28">
        <v>0</v>
      </c>
    </row>
    <row r="52" spans="1:10" ht="15.6" x14ac:dyDescent="0.3">
      <c r="A52" s="27">
        <v>45526</v>
      </c>
      <c r="B52" s="28" t="s">
        <v>33</v>
      </c>
      <c r="C52" s="28" t="s">
        <v>16</v>
      </c>
      <c r="D52" s="28" t="s">
        <v>22</v>
      </c>
      <c r="E52" s="28">
        <v>12</v>
      </c>
      <c r="F52" s="27">
        <v>45547</v>
      </c>
      <c r="G52" s="28"/>
      <c r="H52" s="28" t="s">
        <v>13</v>
      </c>
      <c r="I52" s="28" t="s">
        <v>82</v>
      </c>
      <c r="J52" s="28">
        <v>0</v>
      </c>
    </row>
    <row r="53" spans="1:10" ht="15.6" x14ac:dyDescent="0.3">
      <c r="A53" s="27">
        <v>45543</v>
      </c>
      <c r="B53" s="28" t="s">
        <v>33</v>
      </c>
      <c r="C53" s="28" t="s">
        <v>16</v>
      </c>
      <c r="D53" s="28" t="s">
        <v>12</v>
      </c>
      <c r="E53" s="28">
        <v>232</v>
      </c>
      <c r="F53" s="27">
        <v>45557</v>
      </c>
      <c r="G53" s="27">
        <v>45564</v>
      </c>
      <c r="H53" s="28" t="s">
        <v>18</v>
      </c>
      <c r="I53" s="28" t="s">
        <v>81</v>
      </c>
      <c r="J53" s="28">
        <v>7</v>
      </c>
    </row>
    <row r="54" spans="1:10" ht="15.6" x14ac:dyDescent="0.3">
      <c r="A54" s="27">
        <v>45348</v>
      </c>
      <c r="B54" s="28" t="s">
        <v>33</v>
      </c>
      <c r="C54" s="28" t="s">
        <v>16</v>
      </c>
      <c r="D54" s="28" t="s">
        <v>12</v>
      </c>
      <c r="E54" s="28">
        <v>109</v>
      </c>
      <c r="F54" s="27">
        <v>45362</v>
      </c>
      <c r="G54" s="27">
        <v>45362</v>
      </c>
      <c r="H54" s="28" t="s">
        <v>18</v>
      </c>
      <c r="I54" s="28" t="s">
        <v>83</v>
      </c>
      <c r="J54" s="28">
        <v>0</v>
      </c>
    </row>
    <row r="55" spans="1:10" ht="15.6" x14ac:dyDescent="0.3">
      <c r="A55" s="27">
        <v>45519</v>
      </c>
      <c r="B55" s="28" t="s">
        <v>53</v>
      </c>
      <c r="C55" s="28" t="s">
        <v>42</v>
      </c>
      <c r="D55" s="28" t="s">
        <v>49</v>
      </c>
      <c r="E55" s="28">
        <v>169</v>
      </c>
      <c r="F55" s="27">
        <v>45526</v>
      </c>
      <c r="G55" s="28"/>
      <c r="H55" s="28" t="s">
        <v>54</v>
      </c>
      <c r="I55" s="28" t="s">
        <v>82</v>
      </c>
      <c r="J55" s="28">
        <v>0</v>
      </c>
    </row>
    <row r="56" spans="1:10" ht="15.6" x14ac:dyDescent="0.3">
      <c r="A56" s="27">
        <v>45408</v>
      </c>
      <c r="B56" s="28" t="s">
        <v>53</v>
      </c>
      <c r="C56" s="28" t="s">
        <v>42</v>
      </c>
      <c r="D56" s="28" t="s">
        <v>49</v>
      </c>
      <c r="E56" s="28">
        <v>165</v>
      </c>
      <c r="F56" s="27">
        <v>45438</v>
      </c>
      <c r="G56" s="27">
        <v>45440</v>
      </c>
      <c r="H56" s="28" t="s">
        <v>18</v>
      </c>
      <c r="I56" s="28" t="s">
        <v>81</v>
      </c>
      <c r="J56" s="28">
        <v>2</v>
      </c>
    </row>
    <row r="57" spans="1:10" ht="15.6" x14ac:dyDescent="0.3">
      <c r="A57" s="27">
        <v>45391</v>
      </c>
      <c r="B57" s="28" t="s">
        <v>53</v>
      </c>
      <c r="C57" s="28" t="s">
        <v>42</v>
      </c>
      <c r="D57" s="28" t="s">
        <v>39</v>
      </c>
      <c r="E57" s="28">
        <v>297</v>
      </c>
      <c r="F57" s="27">
        <v>45412</v>
      </c>
      <c r="G57" s="28"/>
      <c r="H57" s="28" t="s">
        <v>13</v>
      </c>
      <c r="I57" s="28" t="s">
        <v>82</v>
      </c>
      <c r="J57" s="28">
        <v>0</v>
      </c>
    </row>
    <row r="58" spans="1:10" ht="15.6" x14ac:dyDescent="0.3">
      <c r="A58" s="27">
        <v>45330</v>
      </c>
      <c r="B58" s="28" t="s">
        <v>53</v>
      </c>
      <c r="C58" s="28" t="s">
        <v>42</v>
      </c>
      <c r="D58" s="28" t="s">
        <v>26</v>
      </c>
      <c r="E58" s="28">
        <v>293</v>
      </c>
      <c r="F58" s="27">
        <v>45351</v>
      </c>
      <c r="G58" s="28"/>
      <c r="H58" s="28" t="s">
        <v>54</v>
      </c>
      <c r="I58" s="28" t="s">
        <v>82</v>
      </c>
      <c r="J58" s="28">
        <v>0</v>
      </c>
    </row>
    <row r="59" spans="1:10" ht="15.6" x14ac:dyDescent="0.3">
      <c r="A59" s="27">
        <v>45608</v>
      </c>
      <c r="B59" s="28" t="s">
        <v>53</v>
      </c>
      <c r="C59" s="28" t="s">
        <v>42</v>
      </c>
      <c r="D59" s="28" t="s">
        <v>26</v>
      </c>
      <c r="E59" s="28">
        <v>399</v>
      </c>
      <c r="F59" s="27">
        <v>45622</v>
      </c>
      <c r="G59" s="27">
        <v>45627</v>
      </c>
      <c r="H59" s="28" t="s">
        <v>18</v>
      </c>
      <c r="I59" s="28" t="s">
        <v>81</v>
      </c>
      <c r="J59" s="28">
        <v>5</v>
      </c>
    </row>
    <row r="60" spans="1:10" ht="15.6" x14ac:dyDescent="0.3">
      <c r="A60" s="27">
        <v>45533</v>
      </c>
      <c r="B60" s="28" t="s">
        <v>53</v>
      </c>
      <c r="C60" s="28" t="s">
        <v>42</v>
      </c>
      <c r="D60" s="28" t="s">
        <v>26</v>
      </c>
      <c r="E60" s="28">
        <v>245</v>
      </c>
      <c r="F60" s="27">
        <v>45547</v>
      </c>
      <c r="G60" s="28"/>
      <c r="H60" s="28" t="s">
        <v>13</v>
      </c>
      <c r="I60" s="28" t="s">
        <v>82</v>
      </c>
      <c r="J60" s="28">
        <v>0</v>
      </c>
    </row>
    <row r="61" spans="1:10" ht="15.6" x14ac:dyDescent="0.3">
      <c r="A61" s="27">
        <v>45382</v>
      </c>
      <c r="B61" s="28" t="s">
        <v>53</v>
      </c>
      <c r="C61" s="28" t="s">
        <v>42</v>
      </c>
      <c r="D61" s="28" t="s">
        <v>26</v>
      </c>
      <c r="E61" s="28">
        <v>208</v>
      </c>
      <c r="F61" s="27">
        <v>45389</v>
      </c>
      <c r="G61" s="28"/>
      <c r="H61" s="28" t="s">
        <v>31</v>
      </c>
      <c r="I61" s="28" t="s">
        <v>82</v>
      </c>
      <c r="J61" s="28">
        <v>0</v>
      </c>
    </row>
    <row r="62" spans="1:10" ht="15.6" x14ac:dyDescent="0.3">
      <c r="A62" s="27">
        <v>45567</v>
      </c>
      <c r="B62" s="28" t="s">
        <v>53</v>
      </c>
      <c r="C62" s="28" t="s">
        <v>42</v>
      </c>
      <c r="D62" s="28" t="s">
        <v>22</v>
      </c>
      <c r="E62" s="28">
        <v>344</v>
      </c>
      <c r="F62" s="27">
        <v>45581</v>
      </c>
      <c r="G62" s="27">
        <v>45582</v>
      </c>
      <c r="H62" s="28" t="s">
        <v>18</v>
      </c>
      <c r="I62" s="28" t="s">
        <v>81</v>
      </c>
      <c r="J62" s="28">
        <v>1</v>
      </c>
    </row>
    <row r="63" spans="1:10" ht="15.6" x14ac:dyDescent="0.3">
      <c r="A63" s="27">
        <v>45300</v>
      </c>
      <c r="B63" s="28" t="s">
        <v>53</v>
      </c>
      <c r="C63" s="28" t="s">
        <v>42</v>
      </c>
      <c r="D63" s="28" t="s">
        <v>12</v>
      </c>
      <c r="E63" s="28">
        <v>349</v>
      </c>
      <c r="F63" s="27">
        <v>45314</v>
      </c>
      <c r="G63" s="27">
        <v>45314</v>
      </c>
      <c r="H63" s="28" t="s">
        <v>18</v>
      </c>
      <c r="I63" s="28" t="s">
        <v>83</v>
      </c>
      <c r="J63" s="28">
        <v>0</v>
      </c>
    </row>
    <row r="64" spans="1:10" ht="15.6" x14ac:dyDescent="0.3">
      <c r="A64" s="27">
        <v>45433</v>
      </c>
      <c r="B64" s="28" t="s">
        <v>53</v>
      </c>
      <c r="C64" s="28" t="s">
        <v>42</v>
      </c>
      <c r="D64" s="28" t="s">
        <v>12</v>
      </c>
      <c r="E64" s="28">
        <v>255</v>
      </c>
      <c r="F64" s="27">
        <v>45478</v>
      </c>
      <c r="G64" s="27">
        <v>45479</v>
      </c>
      <c r="H64" s="28" t="s">
        <v>18</v>
      </c>
      <c r="I64" s="28" t="s">
        <v>81</v>
      </c>
      <c r="J64" s="28">
        <v>1</v>
      </c>
    </row>
    <row r="65" spans="1:10" ht="15.6" x14ac:dyDescent="0.3">
      <c r="A65" s="27">
        <v>45604</v>
      </c>
      <c r="B65" s="28" t="s">
        <v>35</v>
      </c>
      <c r="C65" s="28" t="s">
        <v>36</v>
      </c>
      <c r="D65" s="28" t="s">
        <v>17</v>
      </c>
      <c r="E65" s="28">
        <v>268</v>
      </c>
      <c r="F65" s="27">
        <v>45634</v>
      </c>
      <c r="G65" s="28"/>
      <c r="H65" s="28" t="s">
        <v>54</v>
      </c>
      <c r="I65" s="28" t="s">
        <v>82</v>
      </c>
      <c r="J65" s="28">
        <v>0</v>
      </c>
    </row>
    <row r="66" spans="1:10" ht="15.6" x14ac:dyDescent="0.3">
      <c r="A66" s="27">
        <v>45549</v>
      </c>
      <c r="B66" s="28" t="s">
        <v>35</v>
      </c>
      <c r="C66" s="28" t="s">
        <v>36</v>
      </c>
      <c r="D66" s="28" t="s">
        <v>39</v>
      </c>
      <c r="E66" s="28">
        <v>471</v>
      </c>
      <c r="F66" s="27">
        <v>45594</v>
      </c>
      <c r="G66" s="27">
        <v>45594</v>
      </c>
      <c r="H66" s="28" t="s">
        <v>18</v>
      </c>
      <c r="I66" s="28" t="s">
        <v>83</v>
      </c>
      <c r="J66" s="28">
        <v>0</v>
      </c>
    </row>
    <row r="67" spans="1:10" ht="15.6" x14ac:dyDescent="0.3">
      <c r="A67" s="27">
        <v>45528</v>
      </c>
      <c r="B67" s="28" t="s">
        <v>35</v>
      </c>
      <c r="C67" s="28" t="s">
        <v>36</v>
      </c>
      <c r="D67" s="28" t="s">
        <v>39</v>
      </c>
      <c r="E67" s="28">
        <v>177</v>
      </c>
      <c r="F67" s="27">
        <v>45542</v>
      </c>
      <c r="G67" s="27">
        <v>45542</v>
      </c>
      <c r="H67" s="28" t="s">
        <v>18</v>
      </c>
      <c r="I67" s="28" t="s">
        <v>83</v>
      </c>
      <c r="J67" s="28">
        <v>0</v>
      </c>
    </row>
    <row r="68" spans="1:10" ht="15.6" x14ac:dyDescent="0.3">
      <c r="A68" s="27">
        <v>45568</v>
      </c>
      <c r="B68" s="28" t="s">
        <v>35</v>
      </c>
      <c r="C68" s="28" t="s">
        <v>36</v>
      </c>
      <c r="D68" s="28" t="s">
        <v>26</v>
      </c>
      <c r="E68" s="28">
        <v>61</v>
      </c>
      <c r="F68" s="27">
        <v>45589</v>
      </c>
      <c r="G68" s="28"/>
      <c r="H68" s="28" t="s">
        <v>13</v>
      </c>
      <c r="I68" s="28" t="s">
        <v>82</v>
      </c>
      <c r="J68" s="28">
        <v>0</v>
      </c>
    </row>
    <row r="69" spans="1:10" ht="15.6" x14ac:dyDescent="0.3">
      <c r="A69" s="27">
        <v>45571</v>
      </c>
      <c r="B69" s="28" t="s">
        <v>35</v>
      </c>
      <c r="C69" s="28" t="s">
        <v>36</v>
      </c>
      <c r="D69" s="28" t="s">
        <v>26</v>
      </c>
      <c r="E69" s="28">
        <v>434</v>
      </c>
      <c r="F69" s="27">
        <v>45601</v>
      </c>
      <c r="G69" s="27">
        <v>45601</v>
      </c>
      <c r="H69" s="28" t="s">
        <v>18</v>
      </c>
      <c r="I69" s="28" t="s">
        <v>83</v>
      </c>
      <c r="J69" s="28">
        <v>0</v>
      </c>
    </row>
    <row r="70" spans="1:10" ht="15.6" x14ac:dyDescent="0.3">
      <c r="A70" s="27">
        <v>45432</v>
      </c>
      <c r="B70" s="28" t="s">
        <v>35</v>
      </c>
      <c r="C70" s="28" t="s">
        <v>36</v>
      </c>
      <c r="D70" s="28" t="s">
        <v>26</v>
      </c>
      <c r="E70" s="28">
        <v>288</v>
      </c>
      <c r="F70" s="27">
        <v>45439</v>
      </c>
      <c r="G70" s="28"/>
      <c r="H70" s="28" t="s">
        <v>31</v>
      </c>
      <c r="I70" s="28" t="s">
        <v>82</v>
      </c>
      <c r="J70" s="28">
        <v>0</v>
      </c>
    </row>
    <row r="71" spans="1:10" ht="15.6" x14ac:dyDescent="0.3">
      <c r="A71" s="27">
        <v>45567</v>
      </c>
      <c r="B71" s="28" t="s">
        <v>35</v>
      </c>
      <c r="C71" s="28" t="s">
        <v>36</v>
      </c>
      <c r="D71" s="28" t="s">
        <v>22</v>
      </c>
      <c r="E71" s="28">
        <v>473</v>
      </c>
      <c r="F71" s="27">
        <v>45597</v>
      </c>
      <c r="G71" s="27">
        <v>45603</v>
      </c>
      <c r="H71" s="28" t="s">
        <v>18</v>
      </c>
      <c r="I71" s="28" t="s">
        <v>81</v>
      </c>
      <c r="J71" s="28">
        <v>6</v>
      </c>
    </row>
    <row r="72" spans="1:10" ht="15.6" x14ac:dyDescent="0.3">
      <c r="A72" s="27">
        <v>45639</v>
      </c>
      <c r="B72" s="28" t="s">
        <v>35</v>
      </c>
      <c r="C72" s="28" t="s">
        <v>36</v>
      </c>
      <c r="D72" s="28" t="s">
        <v>22</v>
      </c>
      <c r="E72" s="28">
        <v>195</v>
      </c>
      <c r="F72" s="27">
        <v>45669</v>
      </c>
      <c r="G72" s="28"/>
      <c r="H72" s="28" t="s">
        <v>31</v>
      </c>
      <c r="I72" s="28" t="s">
        <v>82</v>
      </c>
      <c r="J72" s="28">
        <v>0</v>
      </c>
    </row>
    <row r="73" spans="1:10" ht="15.6" x14ac:dyDescent="0.3">
      <c r="A73" s="27">
        <v>45581</v>
      </c>
      <c r="B73" s="28" t="s">
        <v>35</v>
      </c>
      <c r="C73" s="28" t="s">
        <v>36</v>
      </c>
      <c r="D73" s="28" t="s">
        <v>22</v>
      </c>
      <c r="E73" s="28">
        <v>450</v>
      </c>
      <c r="F73" s="27">
        <v>45595</v>
      </c>
      <c r="G73" s="27">
        <v>45595</v>
      </c>
      <c r="H73" s="28" t="s">
        <v>18</v>
      </c>
      <c r="I73" s="28" t="s">
        <v>83</v>
      </c>
      <c r="J73" s="28">
        <v>0</v>
      </c>
    </row>
    <row r="74" spans="1:10" ht="15.6" x14ac:dyDescent="0.3">
      <c r="A74" s="27">
        <v>45361</v>
      </c>
      <c r="B74" s="28" t="s">
        <v>35</v>
      </c>
      <c r="C74" s="28" t="s">
        <v>36</v>
      </c>
      <c r="D74" s="28" t="s">
        <v>12</v>
      </c>
      <c r="E74" s="28">
        <v>354</v>
      </c>
      <c r="F74" s="27">
        <v>45391</v>
      </c>
      <c r="G74" s="27">
        <v>45391</v>
      </c>
      <c r="H74" s="28" t="s">
        <v>18</v>
      </c>
      <c r="I74" s="28" t="s">
        <v>83</v>
      </c>
      <c r="J74" s="28">
        <v>0</v>
      </c>
    </row>
    <row r="75" spans="1:10" ht="15.6" x14ac:dyDescent="0.3">
      <c r="A75" s="27">
        <v>45640</v>
      </c>
      <c r="B75" s="28" t="s">
        <v>35</v>
      </c>
      <c r="C75" s="28" t="s">
        <v>36</v>
      </c>
      <c r="D75" s="28" t="s">
        <v>12</v>
      </c>
      <c r="E75" s="28">
        <v>275</v>
      </c>
      <c r="F75" s="27">
        <v>45670</v>
      </c>
      <c r="G75" s="27">
        <v>45690</v>
      </c>
      <c r="H75" s="28" t="s">
        <v>18</v>
      </c>
      <c r="I75" s="28" t="s">
        <v>81</v>
      </c>
      <c r="J75" s="28">
        <v>20</v>
      </c>
    </row>
    <row r="76" spans="1:10" ht="15.6" x14ac:dyDescent="0.3">
      <c r="A76" s="27">
        <v>45524</v>
      </c>
      <c r="B76" s="28" t="s">
        <v>35</v>
      </c>
      <c r="C76" s="28" t="s">
        <v>36</v>
      </c>
      <c r="D76" s="28" t="s">
        <v>12</v>
      </c>
      <c r="E76" s="28">
        <v>415</v>
      </c>
      <c r="F76" s="27">
        <v>45569</v>
      </c>
      <c r="G76" s="27">
        <v>45572</v>
      </c>
      <c r="H76" s="28" t="s">
        <v>18</v>
      </c>
      <c r="I76" s="28" t="s">
        <v>81</v>
      </c>
      <c r="J76" s="28">
        <v>3</v>
      </c>
    </row>
    <row r="77" spans="1:10" ht="15.6" x14ac:dyDescent="0.3">
      <c r="A77" s="27">
        <v>45373</v>
      </c>
      <c r="B77" s="28" t="s">
        <v>10</v>
      </c>
      <c r="C77" s="28" t="s">
        <v>11</v>
      </c>
      <c r="D77" s="28" t="s">
        <v>49</v>
      </c>
      <c r="E77" s="28">
        <v>39</v>
      </c>
      <c r="F77" s="27">
        <v>45380</v>
      </c>
      <c r="G77" s="27">
        <v>45380</v>
      </c>
      <c r="H77" s="28" t="s">
        <v>18</v>
      </c>
      <c r="I77" s="28" t="s">
        <v>83</v>
      </c>
      <c r="J77" s="28">
        <v>0</v>
      </c>
    </row>
    <row r="78" spans="1:10" ht="15.6" x14ac:dyDescent="0.3">
      <c r="A78" s="27">
        <v>45499</v>
      </c>
      <c r="B78" s="28" t="s">
        <v>10</v>
      </c>
      <c r="C78" s="28" t="s">
        <v>11</v>
      </c>
      <c r="D78" s="28" t="s">
        <v>49</v>
      </c>
      <c r="E78" s="28">
        <v>252</v>
      </c>
      <c r="F78" s="27">
        <v>45520</v>
      </c>
      <c r="G78" s="27">
        <v>45520</v>
      </c>
      <c r="H78" s="28" t="s">
        <v>18</v>
      </c>
      <c r="I78" s="28" t="s">
        <v>83</v>
      </c>
      <c r="J78" s="28">
        <v>0</v>
      </c>
    </row>
    <row r="79" spans="1:10" ht="15.6" x14ac:dyDescent="0.3">
      <c r="A79" s="27">
        <v>45593</v>
      </c>
      <c r="B79" s="28" t="s">
        <v>10</v>
      </c>
      <c r="C79" s="28" t="s">
        <v>11</v>
      </c>
      <c r="D79" s="28" t="s">
        <v>49</v>
      </c>
      <c r="E79" s="28">
        <v>428</v>
      </c>
      <c r="F79" s="27">
        <v>45607</v>
      </c>
      <c r="G79" s="27">
        <v>45612</v>
      </c>
      <c r="H79" s="28" t="s">
        <v>18</v>
      </c>
      <c r="I79" s="28" t="s">
        <v>81</v>
      </c>
      <c r="J79" s="28">
        <v>5</v>
      </c>
    </row>
    <row r="80" spans="1:10" ht="15.6" x14ac:dyDescent="0.3">
      <c r="A80" s="27">
        <v>45551</v>
      </c>
      <c r="B80" s="28" t="s">
        <v>10</v>
      </c>
      <c r="C80" s="28" t="s">
        <v>11</v>
      </c>
      <c r="D80" s="28" t="s">
        <v>39</v>
      </c>
      <c r="E80" s="28">
        <v>403</v>
      </c>
      <c r="F80" s="27">
        <v>45596</v>
      </c>
      <c r="G80" s="27">
        <v>45596</v>
      </c>
      <c r="H80" s="28" t="s">
        <v>18</v>
      </c>
      <c r="I80" s="28" t="s">
        <v>83</v>
      </c>
      <c r="J80" s="28">
        <v>0</v>
      </c>
    </row>
    <row r="81" spans="1:10" ht="15.6" x14ac:dyDescent="0.3">
      <c r="A81" s="27">
        <v>45591</v>
      </c>
      <c r="B81" s="28" t="s">
        <v>10</v>
      </c>
      <c r="C81" s="28" t="s">
        <v>11</v>
      </c>
      <c r="D81" s="28" t="s">
        <v>39</v>
      </c>
      <c r="E81" s="28">
        <v>200</v>
      </c>
      <c r="F81" s="27">
        <v>45636</v>
      </c>
      <c r="G81" s="28"/>
      <c r="H81" s="28" t="s">
        <v>13</v>
      </c>
      <c r="I81" s="28" t="s">
        <v>82</v>
      </c>
      <c r="J81" s="28">
        <v>0</v>
      </c>
    </row>
    <row r="82" spans="1:10" ht="15.6" x14ac:dyDescent="0.3">
      <c r="A82" s="27">
        <v>45570</v>
      </c>
      <c r="B82" s="28" t="s">
        <v>10</v>
      </c>
      <c r="C82" s="28" t="s">
        <v>11</v>
      </c>
      <c r="D82" s="28" t="s">
        <v>26</v>
      </c>
      <c r="E82" s="28">
        <v>146</v>
      </c>
      <c r="F82" s="27">
        <v>45600</v>
      </c>
      <c r="G82" s="27">
        <v>45600</v>
      </c>
      <c r="H82" s="28" t="s">
        <v>18</v>
      </c>
      <c r="I82" s="28" t="s">
        <v>83</v>
      </c>
      <c r="J82" s="28">
        <v>0</v>
      </c>
    </row>
    <row r="83" spans="1:10" ht="15.6" x14ac:dyDescent="0.3">
      <c r="A83" s="27">
        <v>45397</v>
      </c>
      <c r="B83" s="28" t="s">
        <v>10</v>
      </c>
      <c r="C83" s="28" t="s">
        <v>11</v>
      </c>
      <c r="D83" s="28" t="s">
        <v>22</v>
      </c>
      <c r="E83" s="28">
        <v>267</v>
      </c>
      <c r="F83" s="27">
        <v>45442</v>
      </c>
      <c r="G83" s="27">
        <v>45442</v>
      </c>
      <c r="H83" s="28" t="s">
        <v>18</v>
      </c>
      <c r="I83" s="28" t="s">
        <v>83</v>
      </c>
      <c r="J83" s="28">
        <v>0</v>
      </c>
    </row>
    <row r="84" spans="1:10" ht="15.6" x14ac:dyDescent="0.3">
      <c r="A84" s="27">
        <v>45643</v>
      </c>
      <c r="B84" s="28" t="s">
        <v>10</v>
      </c>
      <c r="C84" s="28" t="s">
        <v>11</v>
      </c>
      <c r="D84" s="28" t="s">
        <v>22</v>
      </c>
      <c r="E84" s="28">
        <v>65</v>
      </c>
      <c r="F84" s="27">
        <v>45650</v>
      </c>
      <c r="G84" s="27">
        <v>45662</v>
      </c>
      <c r="H84" s="28" t="s">
        <v>18</v>
      </c>
      <c r="I84" s="28" t="s">
        <v>81</v>
      </c>
      <c r="J84" s="28">
        <v>12</v>
      </c>
    </row>
    <row r="85" spans="1:10" ht="15.6" x14ac:dyDescent="0.3">
      <c r="A85" s="27">
        <v>45341</v>
      </c>
      <c r="B85" s="28" t="s">
        <v>10</v>
      </c>
      <c r="C85" s="28" t="s">
        <v>11</v>
      </c>
      <c r="D85" s="28" t="s">
        <v>12</v>
      </c>
      <c r="E85" s="28">
        <v>72</v>
      </c>
      <c r="F85" s="27">
        <v>45348</v>
      </c>
      <c r="G85" s="27">
        <v>45348</v>
      </c>
      <c r="H85" s="28" t="s">
        <v>18</v>
      </c>
      <c r="I85" s="28" t="s">
        <v>83</v>
      </c>
      <c r="J85" s="28">
        <v>0</v>
      </c>
    </row>
    <row r="86" spans="1:10" ht="15.6" x14ac:dyDescent="0.3">
      <c r="A86" s="27">
        <v>45349</v>
      </c>
      <c r="B86" s="28" t="s">
        <v>10</v>
      </c>
      <c r="C86" s="28" t="s">
        <v>11</v>
      </c>
      <c r="D86" s="28" t="s">
        <v>12</v>
      </c>
      <c r="E86" s="28">
        <v>130</v>
      </c>
      <c r="F86" s="27">
        <v>45356</v>
      </c>
      <c r="G86" s="28"/>
      <c r="H86" s="28" t="s">
        <v>13</v>
      </c>
      <c r="I86" s="28" t="s">
        <v>82</v>
      </c>
      <c r="J86" s="28">
        <v>0</v>
      </c>
    </row>
    <row r="87" spans="1:10" ht="15.6" x14ac:dyDescent="0.3">
      <c r="A87" s="27">
        <v>45604</v>
      </c>
      <c r="B87" s="28" t="s">
        <v>30</v>
      </c>
      <c r="C87" s="28" t="s">
        <v>16</v>
      </c>
      <c r="D87" s="28" t="s">
        <v>49</v>
      </c>
      <c r="E87" s="28">
        <v>406</v>
      </c>
      <c r="F87" s="27">
        <v>45625</v>
      </c>
      <c r="G87" s="28"/>
      <c r="H87" s="28" t="s">
        <v>13</v>
      </c>
      <c r="I87" s="28" t="s">
        <v>82</v>
      </c>
      <c r="J87" s="28">
        <v>0</v>
      </c>
    </row>
    <row r="88" spans="1:10" ht="15.6" x14ac:dyDescent="0.3">
      <c r="A88" s="27">
        <v>45457</v>
      </c>
      <c r="B88" s="28" t="s">
        <v>30</v>
      </c>
      <c r="C88" s="28" t="s">
        <v>16</v>
      </c>
      <c r="D88" s="28" t="s">
        <v>49</v>
      </c>
      <c r="E88" s="28">
        <v>493</v>
      </c>
      <c r="F88" s="27">
        <v>45471</v>
      </c>
      <c r="G88" s="27">
        <v>45473</v>
      </c>
      <c r="H88" s="28" t="s">
        <v>18</v>
      </c>
      <c r="I88" s="28" t="s">
        <v>81</v>
      </c>
      <c r="J88" s="28">
        <v>2</v>
      </c>
    </row>
    <row r="89" spans="1:10" ht="15.6" x14ac:dyDescent="0.3">
      <c r="A89" s="27">
        <v>45562</v>
      </c>
      <c r="B89" s="28" t="s">
        <v>30</v>
      </c>
      <c r="C89" s="28" t="s">
        <v>16</v>
      </c>
      <c r="D89" s="28" t="s">
        <v>17</v>
      </c>
      <c r="E89" s="28">
        <v>467</v>
      </c>
      <c r="F89" s="27">
        <v>45583</v>
      </c>
      <c r="G89" s="27">
        <v>45587</v>
      </c>
      <c r="H89" s="28" t="s">
        <v>18</v>
      </c>
      <c r="I89" s="28" t="s">
        <v>81</v>
      </c>
      <c r="J89" s="28">
        <v>4</v>
      </c>
    </row>
    <row r="90" spans="1:10" ht="15.6" x14ac:dyDescent="0.3">
      <c r="A90" s="27">
        <v>45317</v>
      </c>
      <c r="B90" s="28" t="s">
        <v>30</v>
      </c>
      <c r="C90" s="28" t="s">
        <v>16</v>
      </c>
      <c r="D90" s="28" t="s">
        <v>39</v>
      </c>
      <c r="E90" s="28">
        <v>346</v>
      </c>
      <c r="F90" s="27">
        <v>45362</v>
      </c>
      <c r="G90" s="27">
        <v>45369</v>
      </c>
      <c r="H90" s="28" t="s">
        <v>18</v>
      </c>
      <c r="I90" s="28" t="s">
        <v>81</v>
      </c>
      <c r="J90" s="28">
        <v>7</v>
      </c>
    </row>
    <row r="91" spans="1:10" ht="15.6" x14ac:dyDescent="0.3">
      <c r="A91" s="27">
        <v>45422</v>
      </c>
      <c r="B91" s="28" t="s">
        <v>30</v>
      </c>
      <c r="C91" s="28" t="s">
        <v>16</v>
      </c>
      <c r="D91" s="28" t="s">
        <v>26</v>
      </c>
      <c r="E91" s="28">
        <v>243</v>
      </c>
      <c r="F91" s="27">
        <v>45429</v>
      </c>
      <c r="G91" s="28"/>
      <c r="H91" s="28" t="s">
        <v>54</v>
      </c>
      <c r="I91" s="28" t="s">
        <v>82</v>
      </c>
      <c r="J91" s="28">
        <v>0</v>
      </c>
    </row>
    <row r="92" spans="1:10" ht="15.6" x14ac:dyDescent="0.3">
      <c r="A92" s="27">
        <v>45486</v>
      </c>
      <c r="B92" s="28" t="s">
        <v>30</v>
      </c>
      <c r="C92" s="28" t="s">
        <v>16</v>
      </c>
      <c r="D92" s="28" t="s">
        <v>26</v>
      </c>
      <c r="E92" s="28">
        <v>332</v>
      </c>
      <c r="F92" s="27">
        <v>45507</v>
      </c>
      <c r="G92" s="28"/>
      <c r="H92" s="28" t="s">
        <v>31</v>
      </c>
      <c r="I92" s="28" t="s">
        <v>82</v>
      </c>
      <c r="J92" s="28">
        <v>0</v>
      </c>
    </row>
    <row r="93" spans="1:10" ht="15.6" x14ac:dyDescent="0.3">
      <c r="A93" s="27">
        <v>45602</v>
      </c>
      <c r="B93" s="28" t="s">
        <v>30</v>
      </c>
      <c r="C93" s="28" t="s">
        <v>16</v>
      </c>
      <c r="D93" s="28" t="s">
        <v>22</v>
      </c>
      <c r="E93" s="28">
        <v>225</v>
      </c>
      <c r="F93" s="27">
        <v>45632</v>
      </c>
      <c r="G93" s="27">
        <v>45632</v>
      </c>
      <c r="H93" s="28" t="s">
        <v>18</v>
      </c>
      <c r="I93" s="28" t="s">
        <v>83</v>
      </c>
      <c r="J93" s="28">
        <v>0</v>
      </c>
    </row>
    <row r="94" spans="1:10" ht="15.6" x14ac:dyDescent="0.3">
      <c r="A94" s="27">
        <v>45654</v>
      </c>
      <c r="B94" s="28" t="s">
        <v>30</v>
      </c>
      <c r="C94" s="28" t="s">
        <v>16</v>
      </c>
      <c r="D94" s="28" t="s">
        <v>22</v>
      </c>
      <c r="E94" s="28">
        <v>218</v>
      </c>
      <c r="F94" s="27">
        <v>45699</v>
      </c>
      <c r="G94" s="27">
        <v>45700</v>
      </c>
      <c r="H94" s="28" t="s">
        <v>18</v>
      </c>
      <c r="I94" s="28" t="s">
        <v>81</v>
      </c>
      <c r="J94" s="28">
        <v>1</v>
      </c>
    </row>
    <row r="95" spans="1:10" ht="15.6" x14ac:dyDescent="0.3">
      <c r="A95" s="27">
        <v>45605</v>
      </c>
      <c r="B95" s="28" t="s">
        <v>38</v>
      </c>
      <c r="C95" s="28" t="s">
        <v>21</v>
      </c>
      <c r="D95" s="28" t="s">
        <v>49</v>
      </c>
      <c r="E95" s="28">
        <v>73</v>
      </c>
      <c r="F95" s="27">
        <v>45650</v>
      </c>
      <c r="G95" s="27">
        <v>45662</v>
      </c>
      <c r="H95" s="28" t="s">
        <v>18</v>
      </c>
      <c r="I95" s="28" t="s">
        <v>81</v>
      </c>
      <c r="J95" s="28">
        <v>12</v>
      </c>
    </row>
    <row r="96" spans="1:10" ht="15.6" x14ac:dyDescent="0.3">
      <c r="A96" s="27">
        <v>45334</v>
      </c>
      <c r="B96" s="28" t="s">
        <v>38</v>
      </c>
      <c r="C96" s="28" t="s">
        <v>21</v>
      </c>
      <c r="D96" s="28" t="s">
        <v>49</v>
      </c>
      <c r="E96" s="28">
        <v>169</v>
      </c>
      <c r="F96" s="27">
        <v>45364</v>
      </c>
      <c r="G96" s="27">
        <v>45364</v>
      </c>
      <c r="H96" s="28" t="s">
        <v>18</v>
      </c>
      <c r="I96" s="28" t="s">
        <v>83</v>
      </c>
      <c r="J96" s="28">
        <v>0</v>
      </c>
    </row>
    <row r="97" spans="1:10" ht="15.6" x14ac:dyDescent="0.3">
      <c r="A97" s="27">
        <v>45582</v>
      </c>
      <c r="B97" s="28" t="s">
        <v>38</v>
      </c>
      <c r="C97" s="28" t="s">
        <v>21</v>
      </c>
      <c r="D97" s="28" t="s">
        <v>49</v>
      </c>
      <c r="E97" s="28">
        <v>283</v>
      </c>
      <c r="F97" s="27">
        <v>45627</v>
      </c>
      <c r="G97" s="27">
        <v>45645</v>
      </c>
      <c r="H97" s="28" t="s">
        <v>18</v>
      </c>
      <c r="I97" s="28" t="s">
        <v>81</v>
      </c>
      <c r="J97" s="28">
        <v>18</v>
      </c>
    </row>
    <row r="98" spans="1:10" ht="15.6" x14ac:dyDescent="0.3">
      <c r="A98" s="27">
        <v>45622</v>
      </c>
      <c r="B98" s="28" t="s">
        <v>38</v>
      </c>
      <c r="C98" s="28" t="s">
        <v>21</v>
      </c>
      <c r="D98" s="28" t="s">
        <v>17</v>
      </c>
      <c r="E98" s="28">
        <v>50</v>
      </c>
      <c r="F98" s="27">
        <v>45629</v>
      </c>
      <c r="G98" s="28"/>
      <c r="H98" s="28" t="s">
        <v>31</v>
      </c>
      <c r="I98" s="28" t="s">
        <v>82</v>
      </c>
      <c r="J98" s="28">
        <v>0</v>
      </c>
    </row>
    <row r="99" spans="1:10" ht="15.6" x14ac:dyDescent="0.3">
      <c r="A99" s="27">
        <v>45491</v>
      </c>
      <c r="B99" s="28" t="s">
        <v>38</v>
      </c>
      <c r="C99" s="28" t="s">
        <v>21</v>
      </c>
      <c r="D99" s="28" t="s">
        <v>26</v>
      </c>
      <c r="E99" s="28">
        <v>254</v>
      </c>
      <c r="F99" s="27">
        <v>45521</v>
      </c>
      <c r="G99" s="27">
        <v>45529</v>
      </c>
      <c r="H99" s="28" t="s">
        <v>18</v>
      </c>
      <c r="I99" s="28" t="s">
        <v>81</v>
      </c>
      <c r="J99" s="28">
        <v>8</v>
      </c>
    </row>
    <row r="100" spans="1:10" ht="15.6" x14ac:dyDescent="0.3">
      <c r="A100" s="27">
        <v>45445</v>
      </c>
      <c r="B100" s="28" t="s">
        <v>38</v>
      </c>
      <c r="C100" s="28" t="s">
        <v>21</v>
      </c>
      <c r="D100" s="28" t="s">
        <v>22</v>
      </c>
      <c r="E100" s="28">
        <v>479</v>
      </c>
      <c r="F100" s="27">
        <v>45459</v>
      </c>
      <c r="G100" s="28"/>
      <c r="H100" s="28" t="s">
        <v>13</v>
      </c>
      <c r="I100" s="28" t="s">
        <v>82</v>
      </c>
      <c r="J100" s="28">
        <v>0</v>
      </c>
    </row>
    <row r="101" spans="1:10" ht="15.6" x14ac:dyDescent="0.3">
      <c r="A101" s="27">
        <v>45511</v>
      </c>
      <c r="B101" s="28" t="s">
        <v>38</v>
      </c>
      <c r="C101" s="28" t="s">
        <v>21</v>
      </c>
      <c r="D101" s="28" t="s">
        <v>22</v>
      </c>
      <c r="E101" s="28">
        <v>347</v>
      </c>
      <c r="F101" s="27">
        <v>45518</v>
      </c>
      <c r="G101" s="27">
        <v>45518</v>
      </c>
      <c r="H101" s="28" t="s">
        <v>18</v>
      </c>
      <c r="I101" s="28" t="s">
        <v>83</v>
      </c>
      <c r="J101" s="28">
        <v>0</v>
      </c>
    </row>
    <row r="102" spans="1:10" ht="15.6" x14ac:dyDescent="0.3">
      <c r="A102" s="27">
        <v>45516</v>
      </c>
      <c r="B102" s="28" t="s">
        <v>38</v>
      </c>
      <c r="C102" s="28" t="s">
        <v>21</v>
      </c>
      <c r="D102" s="28" t="s">
        <v>22</v>
      </c>
      <c r="E102" s="28">
        <v>261</v>
      </c>
      <c r="F102" s="27">
        <v>45523</v>
      </c>
      <c r="G102" s="27">
        <v>45540</v>
      </c>
      <c r="H102" s="28" t="s">
        <v>18</v>
      </c>
      <c r="I102" s="28" t="s">
        <v>81</v>
      </c>
      <c r="J102" s="28">
        <v>17</v>
      </c>
    </row>
    <row r="103" spans="1:10" ht="15.6" x14ac:dyDescent="0.3">
      <c r="A103" s="27">
        <v>45405</v>
      </c>
      <c r="B103" s="28" t="s">
        <v>38</v>
      </c>
      <c r="C103" s="28" t="s">
        <v>21</v>
      </c>
      <c r="D103" s="28" t="s">
        <v>22</v>
      </c>
      <c r="E103" s="28">
        <v>161</v>
      </c>
      <c r="F103" s="27">
        <v>45435</v>
      </c>
      <c r="G103" s="28"/>
      <c r="H103" s="28" t="s">
        <v>13</v>
      </c>
      <c r="I103" s="28" t="s">
        <v>82</v>
      </c>
      <c r="J103" s="28">
        <v>0</v>
      </c>
    </row>
    <row r="104" spans="1:10" ht="15.6" x14ac:dyDescent="0.3">
      <c r="A104" s="27">
        <v>45620</v>
      </c>
      <c r="B104" s="28" t="s">
        <v>38</v>
      </c>
      <c r="C104" s="28" t="s">
        <v>21</v>
      </c>
      <c r="D104" s="28" t="s">
        <v>22</v>
      </c>
      <c r="E104" s="28">
        <v>374</v>
      </c>
      <c r="F104" s="27">
        <v>45641</v>
      </c>
      <c r="G104" s="27">
        <v>45641</v>
      </c>
      <c r="H104" s="28" t="s">
        <v>18</v>
      </c>
      <c r="I104" s="28" t="s">
        <v>83</v>
      </c>
      <c r="J104" s="28">
        <v>0</v>
      </c>
    </row>
    <row r="105" spans="1:10" ht="15.6" x14ac:dyDescent="0.3">
      <c r="A105" s="27">
        <v>45650</v>
      </c>
      <c r="B105" s="28" t="s">
        <v>38</v>
      </c>
      <c r="C105" s="28" t="s">
        <v>21</v>
      </c>
      <c r="D105" s="28" t="s">
        <v>22</v>
      </c>
      <c r="E105" s="28">
        <v>447</v>
      </c>
      <c r="F105" s="27">
        <v>45671</v>
      </c>
      <c r="G105" s="27">
        <v>45671</v>
      </c>
      <c r="H105" s="28" t="s">
        <v>18</v>
      </c>
      <c r="I105" s="28" t="s">
        <v>83</v>
      </c>
      <c r="J105" s="28">
        <v>0</v>
      </c>
    </row>
    <row r="106" spans="1:10" ht="15.6" x14ac:dyDescent="0.3">
      <c r="A106" s="27">
        <v>45651</v>
      </c>
      <c r="B106" s="28" t="s">
        <v>38</v>
      </c>
      <c r="C106" s="28" t="s">
        <v>21</v>
      </c>
      <c r="D106" s="28" t="s">
        <v>22</v>
      </c>
      <c r="E106" s="28">
        <v>184</v>
      </c>
      <c r="F106" s="27">
        <v>45672</v>
      </c>
      <c r="G106" s="28"/>
      <c r="H106" s="28" t="s">
        <v>31</v>
      </c>
      <c r="I106" s="28" t="s">
        <v>82</v>
      </c>
      <c r="J106" s="28">
        <v>0</v>
      </c>
    </row>
    <row r="107" spans="1:10" ht="15.6" x14ac:dyDescent="0.3">
      <c r="A107" s="27">
        <v>45579</v>
      </c>
      <c r="B107" s="28" t="s">
        <v>38</v>
      </c>
      <c r="C107" s="28" t="s">
        <v>21</v>
      </c>
      <c r="D107" s="28" t="s">
        <v>12</v>
      </c>
      <c r="E107" s="28">
        <v>30</v>
      </c>
      <c r="F107" s="27">
        <v>45600</v>
      </c>
      <c r="G107" s="27">
        <v>45600</v>
      </c>
      <c r="H107" s="28" t="s">
        <v>18</v>
      </c>
      <c r="I107" s="28" t="s">
        <v>83</v>
      </c>
      <c r="J107" s="28">
        <v>0</v>
      </c>
    </row>
    <row r="108" spans="1:10" ht="15.6" x14ac:dyDescent="0.3">
      <c r="A108" s="27">
        <v>45343</v>
      </c>
      <c r="B108" s="28" t="s">
        <v>38</v>
      </c>
      <c r="C108" s="28" t="s">
        <v>21</v>
      </c>
      <c r="D108" s="28" t="s">
        <v>12</v>
      </c>
      <c r="E108" s="28">
        <v>432</v>
      </c>
      <c r="F108" s="27">
        <v>45388</v>
      </c>
      <c r="G108" s="28"/>
      <c r="H108" s="28" t="s">
        <v>13</v>
      </c>
      <c r="I108" s="28" t="s">
        <v>82</v>
      </c>
      <c r="J108" s="28">
        <v>0</v>
      </c>
    </row>
    <row r="109" spans="1:10" ht="15.6" x14ac:dyDescent="0.3">
      <c r="A109" s="27">
        <v>45481</v>
      </c>
      <c r="B109" s="28" t="s">
        <v>48</v>
      </c>
      <c r="C109" s="28" t="s">
        <v>42</v>
      </c>
      <c r="D109" s="28" t="s">
        <v>49</v>
      </c>
      <c r="E109" s="28">
        <v>13</v>
      </c>
      <c r="F109" s="27">
        <v>45502</v>
      </c>
      <c r="G109" s="27">
        <v>45505</v>
      </c>
      <c r="H109" s="28" t="s">
        <v>18</v>
      </c>
      <c r="I109" s="28" t="s">
        <v>81</v>
      </c>
      <c r="J109" s="28">
        <v>3</v>
      </c>
    </row>
    <row r="110" spans="1:10" ht="15.6" x14ac:dyDescent="0.3">
      <c r="A110" s="27">
        <v>45643</v>
      </c>
      <c r="B110" s="28" t="s">
        <v>48</v>
      </c>
      <c r="C110" s="28" t="s">
        <v>42</v>
      </c>
      <c r="D110" s="28" t="s">
        <v>49</v>
      </c>
      <c r="E110" s="28">
        <v>221</v>
      </c>
      <c r="F110" s="27">
        <v>45664</v>
      </c>
      <c r="G110" s="27">
        <v>45664</v>
      </c>
      <c r="H110" s="28" t="s">
        <v>18</v>
      </c>
      <c r="I110" s="28" t="s">
        <v>83</v>
      </c>
      <c r="J110" s="28">
        <v>0</v>
      </c>
    </row>
    <row r="111" spans="1:10" ht="15.6" x14ac:dyDescent="0.3">
      <c r="A111" s="27">
        <v>45402</v>
      </c>
      <c r="B111" s="28" t="s">
        <v>48</v>
      </c>
      <c r="C111" s="28" t="s">
        <v>42</v>
      </c>
      <c r="D111" s="28" t="s">
        <v>49</v>
      </c>
      <c r="E111" s="28">
        <v>56</v>
      </c>
      <c r="F111" s="27">
        <v>45432</v>
      </c>
      <c r="G111" s="27">
        <v>45432</v>
      </c>
      <c r="H111" s="28" t="s">
        <v>18</v>
      </c>
      <c r="I111" s="28" t="s">
        <v>83</v>
      </c>
      <c r="J111" s="28">
        <v>0</v>
      </c>
    </row>
    <row r="112" spans="1:10" ht="15.6" x14ac:dyDescent="0.3">
      <c r="A112" s="27">
        <v>45302</v>
      </c>
      <c r="B112" s="28" t="s">
        <v>48</v>
      </c>
      <c r="C112" s="28" t="s">
        <v>42</v>
      </c>
      <c r="D112" s="28" t="s">
        <v>17</v>
      </c>
      <c r="E112" s="28">
        <v>116</v>
      </c>
      <c r="F112" s="27">
        <v>45347</v>
      </c>
      <c r="G112" s="27">
        <v>45347</v>
      </c>
      <c r="H112" s="28" t="s">
        <v>18</v>
      </c>
      <c r="I112" s="28" t="s">
        <v>83</v>
      </c>
      <c r="J112" s="28">
        <v>0</v>
      </c>
    </row>
    <row r="113" spans="1:10" ht="15.6" x14ac:dyDescent="0.3">
      <c r="A113" s="27">
        <v>45368</v>
      </c>
      <c r="B113" s="28" t="s">
        <v>48</v>
      </c>
      <c r="C113" s="28" t="s">
        <v>42</v>
      </c>
      <c r="D113" s="28" t="s">
        <v>17</v>
      </c>
      <c r="E113" s="28">
        <v>316</v>
      </c>
      <c r="F113" s="27">
        <v>45413</v>
      </c>
      <c r="G113" s="28"/>
      <c r="H113" s="28" t="s">
        <v>31</v>
      </c>
      <c r="I113" s="28" t="s">
        <v>82</v>
      </c>
      <c r="J113" s="28">
        <v>0</v>
      </c>
    </row>
    <row r="114" spans="1:10" ht="15.6" x14ac:dyDescent="0.3">
      <c r="A114" s="27">
        <v>45648</v>
      </c>
      <c r="B114" s="28" t="s">
        <v>48</v>
      </c>
      <c r="C114" s="28" t="s">
        <v>42</v>
      </c>
      <c r="D114" s="28" t="s">
        <v>17</v>
      </c>
      <c r="E114" s="28">
        <v>445</v>
      </c>
      <c r="F114" s="27">
        <v>45678</v>
      </c>
      <c r="G114" s="27">
        <v>45683</v>
      </c>
      <c r="H114" s="28" t="s">
        <v>18</v>
      </c>
      <c r="I114" s="28" t="s">
        <v>81</v>
      </c>
      <c r="J114" s="28">
        <v>5</v>
      </c>
    </row>
    <row r="115" spans="1:10" ht="15.6" x14ac:dyDescent="0.3">
      <c r="A115" s="27">
        <v>45497</v>
      </c>
      <c r="B115" s="28" t="s">
        <v>48</v>
      </c>
      <c r="C115" s="28" t="s">
        <v>42</v>
      </c>
      <c r="D115" s="28" t="s">
        <v>17</v>
      </c>
      <c r="E115" s="28">
        <v>406</v>
      </c>
      <c r="F115" s="27">
        <v>45504</v>
      </c>
      <c r="G115" s="27">
        <v>45519</v>
      </c>
      <c r="H115" s="28" t="s">
        <v>18</v>
      </c>
      <c r="I115" s="28" t="s">
        <v>81</v>
      </c>
      <c r="J115" s="28">
        <v>15</v>
      </c>
    </row>
    <row r="116" spans="1:10" ht="15.6" x14ac:dyDescent="0.3">
      <c r="A116" s="27">
        <v>45469</v>
      </c>
      <c r="B116" s="28" t="s">
        <v>48</v>
      </c>
      <c r="C116" s="28" t="s">
        <v>42</v>
      </c>
      <c r="D116" s="28" t="s">
        <v>17</v>
      </c>
      <c r="E116" s="28">
        <v>438</v>
      </c>
      <c r="F116" s="27">
        <v>45514</v>
      </c>
      <c r="G116" s="28"/>
      <c r="H116" s="28" t="s">
        <v>54</v>
      </c>
      <c r="I116" s="28" t="s">
        <v>82</v>
      </c>
      <c r="J116" s="28">
        <v>0</v>
      </c>
    </row>
    <row r="117" spans="1:10" ht="15.6" x14ac:dyDescent="0.3">
      <c r="A117" s="27">
        <v>45320</v>
      </c>
      <c r="B117" s="28" t="s">
        <v>48</v>
      </c>
      <c r="C117" s="28" t="s">
        <v>42</v>
      </c>
      <c r="D117" s="28" t="s">
        <v>17</v>
      </c>
      <c r="E117" s="28">
        <v>311</v>
      </c>
      <c r="F117" s="27">
        <v>45334</v>
      </c>
      <c r="G117" s="27">
        <v>45334</v>
      </c>
      <c r="H117" s="28" t="s">
        <v>18</v>
      </c>
      <c r="I117" s="28" t="s">
        <v>83</v>
      </c>
      <c r="J117" s="28">
        <v>0</v>
      </c>
    </row>
    <row r="118" spans="1:10" ht="15.6" x14ac:dyDescent="0.3">
      <c r="A118" s="27">
        <v>45557</v>
      </c>
      <c r="B118" s="28" t="s">
        <v>48</v>
      </c>
      <c r="C118" s="28" t="s">
        <v>42</v>
      </c>
      <c r="D118" s="28" t="s">
        <v>39</v>
      </c>
      <c r="E118" s="28">
        <v>109</v>
      </c>
      <c r="F118" s="27">
        <v>45578</v>
      </c>
      <c r="G118" s="27">
        <v>45580</v>
      </c>
      <c r="H118" s="28" t="s">
        <v>18</v>
      </c>
      <c r="I118" s="28" t="s">
        <v>81</v>
      </c>
      <c r="J118" s="28">
        <v>2</v>
      </c>
    </row>
    <row r="119" spans="1:10" ht="15.6" x14ac:dyDescent="0.3">
      <c r="A119" s="27">
        <v>45347</v>
      </c>
      <c r="B119" s="28" t="s">
        <v>48</v>
      </c>
      <c r="C119" s="28" t="s">
        <v>42</v>
      </c>
      <c r="D119" s="28" t="s">
        <v>39</v>
      </c>
      <c r="E119" s="28">
        <v>193</v>
      </c>
      <c r="F119" s="27">
        <v>45368</v>
      </c>
      <c r="G119" s="28"/>
      <c r="H119" s="28" t="s">
        <v>54</v>
      </c>
      <c r="I119" s="28" t="s">
        <v>82</v>
      </c>
      <c r="J119" s="28">
        <v>0</v>
      </c>
    </row>
    <row r="120" spans="1:10" ht="15.6" x14ac:dyDescent="0.3">
      <c r="A120" s="27">
        <v>45461</v>
      </c>
      <c r="B120" s="28" t="s">
        <v>48</v>
      </c>
      <c r="C120" s="28" t="s">
        <v>42</v>
      </c>
      <c r="D120" s="28" t="s">
        <v>26</v>
      </c>
      <c r="E120" s="28">
        <v>438</v>
      </c>
      <c r="F120" s="27">
        <v>45468</v>
      </c>
      <c r="G120" s="28"/>
      <c r="H120" s="28" t="s">
        <v>31</v>
      </c>
      <c r="I120" s="28" t="s">
        <v>82</v>
      </c>
      <c r="J120" s="28">
        <v>0</v>
      </c>
    </row>
    <row r="121" spans="1:10" ht="15.6" x14ac:dyDescent="0.3">
      <c r="A121" s="27">
        <v>45496</v>
      </c>
      <c r="B121" s="28" t="s">
        <v>48</v>
      </c>
      <c r="C121" s="28" t="s">
        <v>42</v>
      </c>
      <c r="D121" s="28" t="s">
        <v>26</v>
      </c>
      <c r="E121" s="28">
        <v>265</v>
      </c>
      <c r="F121" s="27">
        <v>45517</v>
      </c>
      <c r="G121" s="27">
        <v>45517</v>
      </c>
      <c r="H121" s="28" t="s">
        <v>18</v>
      </c>
      <c r="I121" s="28" t="s">
        <v>83</v>
      </c>
      <c r="J121" s="28">
        <v>0</v>
      </c>
    </row>
    <row r="122" spans="1:10" ht="15.6" x14ac:dyDescent="0.3">
      <c r="A122" s="27">
        <v>45390</v>
      </c>
      <c r="B122" s="28" t="s">
        <v>48</v>
      </c>
      <c r="C122" s="28" t="s">
        <v>42</v>
      </c>
      <c r="D122" s="28" t="s">
        <v>12</v>
      </c>
      <c r="E122" s="28">
        <v>496</v>
      </c>
      <c r="F122" s="27">
        <v>45435</v>
      </c>
      <c r="G122" s="27">
        <v>45435</v>
      </c>
      <c r="H122" s="28" t="s">
        <v>18</v>
      </c>
      <c r="I122" s="28" t="s">
        <v>83</v>
      </c>
      <c r="J122" s="28">
        <v>0</v>
      </c>
    </row>
    <row r="123" spans="1:10" ht="15.6" x14ac:dyDescent="0.3">
      <c r="A123" s="27">
        <v>45512</v>
      </c>
      <c r="B123" s="28" t="s">
        <v>48</v>
      </c>
      <c r="C123" s="28" t="s">
        <v>42</v>
      </c>
      <c r="D123" s="28" t="s">
        <v>12</v>
      </c>
      <c r="E123" s="28">
        <v>114</v>
      </c>
      <c r="F123" s="27">
        <v>45557</v>
      </c>
      <c r="G123" s="27">
        <v>45557</v>
      </c>
      <c r="H123" s="28" t="s">
        <v>18</v>
      </c>
      <c r="I123" s="28" t="s">
        <v>83</v>
      </c>
      <c r="J123" s="28">
        <v>0</v>
      </c>
    </row>
    <row r="124" spans="1:10" ht="15.6" x14ac:dyDescent="0.3">
      <c r="A124" s="27">
        <v>45452</v>
      </c>
      <c r="B124" s="28" t="s">
        <v>41</v>
      </c>
      <c r="C124" s="28" t="s">
        <v>42</v>
      </c>
      <c r="D124" s="28" t="s">
        <v>49</v>
      </c>
      <c r="E124" s="28">
        <v>203</v>
      </c>
      <c r="F124" s="27">
        <v>45473</v>
      </c>
      <c r="G124" s="27">
        <v>45473</v>
      </c>
      <c r="H124" s="28" t="s">
        <v>18</v>
      </c>
      <c r="I124" s="28" t="s">
        <v>83</v>
      </c>
      <c r="J124" s="28">
        <v>0</v>
      </c>
    </row>
    <row r="125" spans="1:10" ht="15.6" x14ac:dyDescent="0.3">
      <c r="A125" s="27">
        <v>45636</v>
      </c>
      <c r="B125" s="28" t="s">
        <v>41</v>
      </c>
      <c r="C125" s="28" t="s">
        <v>42</v>
      </c>
      <c r="D125" s="28" t="s">
        <v>49</v>
      </c>
      <c r="E125" s="28">
        <v>291</v>
      </c>
      <c r="F125" s="27">
        <v>45681</v>
      </c>
      <c r="G125" s="27">
        <v>45682</v>
      </c>
      <c r="H125" s="28" t="s">
        <v>18</v>
      </c>
      <c r="I125" s="28" t="s">
        <v>81</v>
      </c>
      <c r="J125" s="28">
        <v>1</v>
      </c>
    </row>
    <row r="126" spans="1:10" ht="15.6" x14ac:dyDescent="0.3">
      <c r="A126" s="27">
        <v>45562</v>
      </c>
      <c r="B126" s="28" t="s">
        <v>41</v>
      </c>
      <c r="C126" s="28" t="s">
        <v>42</v>
      </c>
      <c r="D126" s="28" t="s">
        <v>49</v>
      </c>
      <c r="E126" s="28">
        <v>119</v>
      </c>
      <c r="F126" s="27">
        <v>45576</v>
      </c>
      <c r="G126" s="28"/>
      <c r="H126" s="28" t="s">
        <v>13</v>
      </c>
      <c r="I126" s="28" t="s">
        <v>82</v>
      </c>
      <c r="J126" s="28">
        <v>0</v>
      </c>
    </row>
    <row r="127" spans="1:10" ht="15.6" x14ac:dyDescent="0.3">
      <c r="A127" s="27">
        <v>45358</v>
      </c>
      <c r="B127" s="28" t="s">
        <v>41</v>
      </c>
      <c r="C127" s="28" t="s">
        <v>42</v>
      </c>
      <c r="D127" s="28" t="s">
        <v>17</v>
      </c>
      <c r="E127" s="28">
        <v>48</v>
      </c>
      <c r="F127" s="27">
        <v>45403</v>
      </c>
      <c r="G127" s="28"/>
      <c r="H127" s="28" t="s">
        <v>13</v>
      </c>
      <c r="I127" s="28" t="s">
        <v>82</v>
      </c>
      <c r="J127" s="28">
        <v>0</v>
      </c>
    </row>
    <row r="128" spans="1:10" ht="15.6" x14ac:dyDescent="0.3">
      <c r="A128" s="27">
        <v>45419</v>
      </c>
      <c r="B128" s="28" t="s">
        <v>41</v>
      </c>
      <c r="C128" s="28" t="s">
        <v>42</v>
      </c>
      <c r="D128" s="28" t="s">
        <v>17</v>
      </c>
      <c r="E128" s="28">
        <v>483</v>
      </c>
      <c r="F128" s="27">
        <v>45433</v>
      </c>
      <c r="G128" s="28"/>
      <c r="H128" s="28" t="s">
        <v>54</v>
      </c>
      <c r="I128" s="28" t="s">
        <v>82</v>
      </c>
      <c r="J128" s="28">
        <v>0</v>
      </c>
    </row>
    <row r="129" spans="1:10" ht="15.6" x14ac:dyDescent="0.3">
      <c r="A129" s="27">
        <v>45572</v>
      </c>
      <c r="B129" s="28" t="s">
        <v>41</v>
      </c>
      <c r="C129" s="28" t="s">
        <v>42</v>
      </c>
      <c r="D129" s="28" t="s">
        <v>17</v>
      </c>
      <c r="E129" s="28">
        <v>385</v>
      </c>
      <c r="F129" s="27">
        <v>45602</v>
      </c>
      <c r="G129" s="28"/>
      <c r="H129" s="28" t="s">
        <v>54</v>
      </c>
      <c r="I129" s="28" t="s">
        <v>82</v>
      </c>
      <c r="J129" s="28">
        <v>0</v>
      </c>
    </row>
    <row r="130" spans="1:10" ht="15.6" x14ac:dyDescent="0.3">
      <c r="A130" s="27">
        <v>45385</v>
      </c>
      <c r="B130" s="28" t="s">
        <v>41</v>
      </c>
      <c r="C130" s="28" t="s">
        <v>42</v>
      </c>
      <c r="D130" s="28" t="s">
        <v>26</v>
      </c>
      <c r="E130" s="28">
        <v>338</v>
      </c>
      <c r="F130" s="27">
        <v>45406</v>
      </c>
      <c r="G130" s="27">
        <v>45406</v>
      </c>
      <c r="H130" s="28" t="s">
        <v>18</v>
      </c>
      <c r="I130" s="28" t="s">
        <v>83</v>
      </c>
      <c r="J130" s="28">
        <v>0</v>
      </c>
    </row>
    <row r="131" spans="1:10" ht="15.6" x14ac:dyDescent="0.3">
      <c r="A131" s="27">
        <v>45358</v>
      </c>
      <c r="B131" s="28" t="s">
        <v>41</v>
      </c>
      <c r="C131" s="28" t="s">
        <v>42</v>
      </c>
      <c r="D131" s="28" t="s">
        <v>26</v>
      </c>
      <c r="E131" s="28">
        <v>141</v>
      </c>
      <c r="F131" s="27">
        <v>45379</v>
      </c>
      <c r="G131" s="27">
        <v>45379</v>
      </c>
      <c r="H131" s="28" t="s">
        <v>18</v>
      </c>
      <c r="I131" s="28" t="s">
        <v>83</v>
      </c>
      <c r="J131" s="28">
        <v>0</v>
      </c>
    </row>
    <row r="132" spans="1:10" ht="15.6" x14ac:dyDescent="0.3">
      <c r="A132" s="27">
        <v>45483</v>
      </c>
      <c r="B132" s="28" t="s">
        <v>41</v>
      </c>
      <c r="C132" s="28" t="s">
        <v>42</v>
      </c>
      <c r="D132" s="28" t="s">
        <v>26</v>
      </c>
      <c r="E132" s="28">
        <v>265</v>
      </c>
      <c r="F132" s="27">
        <v>45504</v>
      </c>
      <c r="G132" s="27">
        <v>45504</v>
      </c>
      <c r="H132" s="28" t="s">
        <v>18</v>
      </c>
      <c r="I132" s="28" t="s">
        <v>83</v>
      </c>
      <c r="J132" s="28">
        <v>0</v>
      </c>
    </row>
    <row r="133" spans="1:10" ht="15.6" x14ac:dyDescent="0.3">
      <c r="A133" s="27">
        <v>45376</v>
      </c>
      <c r="B133" s="28" t="s">
        <v>41</v>
      </c>
      <c r="C133" s="28" t="s">
        <v>42</v>
      </c>
      <c r="D133" s="28" t="s">
        <v>26</v>
      </c>
      <c r="E133" s="28">
        <v>323</v>
      </c>
      <c r="F133" s="27">
        <v>45406</v>
      </c>
      <c r="G133" s="28"/>
      <c r="H133" s="28" t="s">
        <v>31</v>
      </c>
      <c r="I133" s="28" t="s">
        <v>82</v>
      </c>
      <c r="J133" s="28">
        <v>0</v>
      </c>
    </row>
    <row r="134" spans="1:10" ht="15.6" x14ac:dyDescent="0.3">
      <c r="A134" s="27">
        <v>45501</v>
      </c>
      <c r="B134" s="28" t="s">
        <v>41</v>
      </c>
      <c r="C134" s="28" t="s">
        <v>42</v>
      </c>
      <c r="D134" s="28" t="s">
        <v>26</v>
      </c>
      <c r="E134" s="28">
        <v>31</v>
      </c>
      <c r="F134" s="27">
        <v>45522</v>
      </c>
      <c r="G134" s="28"/>
      <c r="H134" s="28" t="s">
        <v>13</v>
      </c>
      <c r="I134" s="28" t="s">
        <v>82</v>
      </c>
      <c r="J134" s="28">
        <v>0</v>
      </c>
    </row>
    <row r="135" spans="1:10" ht="15.6" x14ac:dyDescent="0.3">
      <c r="A135" s="27">
        <v>45635</v>
      </c>
      <c r="B135" s="28" t="s">
        <v>41</v>
      </c>
      <c r="C135" s="28" t="s">
        <v>42</v>
      </c>
      <c r="D135" s="28" t="s">
        <v>22</v>
      </c>
      <c r="E135" s="28">
        <v>37</v>
      </c>
      <c r="F135" s="27">
        <v>45656</v>
      </c>
      <c r="G135" s="27">
        <v>45656</v>
      </c>
      <c r="H135" s="28" t="s">
        <v>18</v>
      </c>
      <c r="I135" s="28" t="s">
        <v>83</v>
      </c>
      <c r="J135" s="28">
        <v>0</v>
      </c>
    </row>
    <row r="136" spans="1:10" ht="15.6" x14ac:dyDescent="0.3">
      <c r="A136" s="27">
        <v>45318</v>
      </c>
      <c r="B136" s="28" t="s">
        <v>41</v>
      </c>
      <c r="C136" s="28" t="s">
        <v>42</v>
      </c>
      <c r="D136" s="28" t="s">
        <v>22</v>
      </c>
      <c r="E136" s="28">
        <v>263</v>
      </c>
      <c r="F136" s="27">
        <v>45363</v>
      </c>
      <c r="G136" s="27">
        <v>45363</v>
      </c>
      <c r="H136" s="28" t="s">
        <v>18</v>
      </c>
      <c r="I136" s="28" t="s">
        <v>83</v>
      </c>
      <c r="J136" s="28">
        <v>0</v>
      </c>
    </row>
    <row r="137" spans="1:10" ht="15.6" x14ac:dyDescent="0.3">
      <c r="A137" s="27">
        <v>45537</v>
      </c>
      <c r="B137" s="28" t="s">
        <v>41</v>
      </c>
      <c r="C137" s="28" t="s">
        <v>42</v>
      </c>
      <c r="D137" s="28" t="s">
        <v>12</v>
      </c>
      <c r="E137" s="28">
        <v>167</v>
      </c>
      <c r="F137" s="27">
        <v>45582</v>
      </c>
      <c r="G137" s="27">
        <v>45582</v>
      </c>
      <c r="H137" s="28" t="s">
        <v>18</v>
      </c>
      <c r="I137" s="28" t="s">
        <v>83</v>
      </c>
      <c r="J137" s="28">
        <v>0</v>
      </c>
    </row>
    <row r="138" spans="1:10" ht="15.6" x14ac:dyDescent="0.3">
      <c r="A138" s="27">
        <v>45598</v>
      </c>
      <c r="B138" s="28" t="s">
        <v>41</v>
      </c>
      <c r="C138" s="28" t="s">
        <v>42</v>
      </c>
      <c r="D138" s="28" t="s">
        <v>12</v>
      </c>
      <c r="E138" s="28">
        <v>153</v>
      </c>
      <c r="F138" s="27">
        <v>45605</v>
      </c>
      <c r="G138" s="27">
        <v>45607</v>
      </c>
      <c r="H138" s="28" t="s">
        <v>18</v>
      </c>
      <c r="I138" s="28" t="s">
        <v>81</v>
      </c>
      <c r="J138" s="28">
        <v>2</v>
      </c>
    </row>
    <row r="139" spans="1:10" ht="15.6" x14ac:dyDescent="0.3">
      <c r="A139" s="27">
        <v>45630</v>
      </c>
      <c r="B139" s="28" t="s">
        <v>41</v>
      </c>
      <c r="C139" s="28" t="s">
        <v>42</v>
      </c>
      <c r="D139" s="28" t="s">
        <v>12</v>
      </c>
      <c r="E139" s="28">
        <v>426</v>
      </c>
      <c r="F139" s="27">
        <v>45651</v>
      </c>
      <c r="G139" s="27">
        <v>45657</v>
      </c>
      <c r="H139" s="28" t="s">
        <v>18</v>
      </c>
      <c r="I139" s="28" t="s">
        <v>81</v>
      </c>
      <c r="J139" s="28">
        <v>6</v>
      </c>
    </row>
    <row r="140" spans="1:10" ht="15.6" x14ac:dyDescent="0.3">
      <c r="A140" s="27">
        <v>45461</v>
      </c>
      <c r="B140" s="28" t="s">
        <v>41</v>
      </c>
      <c r="C140" s="28" t="s">
        <v>42</v>
      </c>
      <c r="D140" s="28" t="s">
        <v>12</v>
      </c>
      <c r="E140" s="28">
        <v>85</v>
      </c>
      <c r="F140" s="27">
        <v>45491</v>
      </c>
      <c r="G140" s="27">
        <v>45510</v>
      </c>
      <c r="H140" s="28" t="s">
        <v>18</v>
      </c>
      <c r="I140" s="28" t="s">
        <v>81</v>
      </c>
      <c r="J140" s="28">
        <v>19</v>
      </c>
    </row>
    <row r="141" spans="1:10" ht="15.6" x14ac:dyDescent="0.3">
      <c r="A141" s="27">
        <v>45427</v>
      </c>
      <c r="B141" s="28" t="s">
        <v>44</v>
      </c>
      <c r="C141" s="28" t="s">
        <v>21</v>
      </c>
      <c r="D141" s="28" t="s">
        <v>49</v>
      </c>
      <c r="E141" s="28">
        <v>266</v>
      </c>
      <c r="F141" s="27">
        <v>45434</v>
      </c>
      <c r="G141" s="27">
        <v>45434</v>
      </c>
      <c r="H141" s="28" t="s">
        <v>18</v>
      </c>
      <c r="I141" s="28" t="s">
        <v>83</v>
      </c>
      <c r="J141" s="28">
        <v>0</v>
      </c>
    </row>
    <row r="142" spans="1:10" ht="15.6" x14ac:dyDescent="0.3">
      <c r="A142" s="27">
        <v>45580</v>
      </c>
      <c r="B142" s="28" t="s">
        <v>44</v>
      </c>
      <c r="C142" s="28" t="s">
        <v>21</v>
      </c>
      <c r="D142" s="28" t="s">
        <v>49</v>
      </c>
      <c r="E142" s="28">
        <v>183</v>
      </c>
      <c r="F142" s="27">
        <v>45587</v>
      </c>
      <c r="G142" s="27">
        <v>45587</v>
      </c>
      <c r="H142" s="28" t="s">
        <v>18</v>
      </c>
      <c r="I142" s="28" t="s">
        <v>83</v>
      </c>
      <c r="J142" s="28">
        <v>0</v>
      </c>
    </row>
    <row r="143" spans="1:10" ht="15.6" x14ac:dyDescent="0.3">
      <c r="A143" s="27">
        <v>45521</v>
      </c>
      <c r="B143" s="28" t="s">
        <v>44</v>
      </c>
      <c r="C143" s="28" t="s">
        <v>21</v>
      </c>
      <c r="D143" s="28" t="s">
        <v>49</v>
      </c>
      <c r="E143" s="28">
        <v>39</v>
      </c>
      <c r="F143" s="27">
        <v>45566</v>
      </c>
      <c r="G143" s="27">
        <v>45566</v>
      </c>
      <c r="H143" s="28" t="s">
        <v>18</v>
      </c>
      <c r="I143" s="28" t="s">
        <v>83</v>
      </c>
      <c r="J143" s="28">
        <v>0</v>
      </c>
    </row>
    <row r="144" spans="1:10" ht="15.6" x14ac:dyDescent="0.3">
      <c r="A144" s="27">
        <v>45472</v>
      </c>
      <c r="B144" s="28" t="s">
        <v>44</v>
      </c>
      <c r="C144" s="28" t="s">
        <v>21</v>
      </c>
      <c r="D144" s="28" t="s">
        <v>49</v>
      </c>
      <c r="E144" s="28">
        <v>9</v>
      </c>
      <c r="F144" s="27">
        <v>45479</v>
      </c>
      <c r="G144" s="27">
        <v>45479</v>
      </c>
      <c r="H144" s="28" t="s">
        <v>18</v>
      </c>
      <c r="I144" s="28" t="s">
        <v>83</v>
      </c>
      <c r="J144" s="28">
        <v>0</v>
      </c>
    </row>
    <row r="145" spans="1:10" ht="15.6" x14ac:dyDescent="0.3">
      <c r="A145" s="27">
        <v>45463</v>
      </c>
      <c r="B145" s="28" t="s">
        <v>44</v>
      </c>
      <c r="C145" s="28" t="s">
        <v>21</v>
      </c>
      <c r="D145" s="28" t="s">
        <v>17</v>
      </c>
      <c r="E145" s="28">
        <v>389</v>
      </c>
      <c r="F145" s="27">
        <v>45470</v>
      </c>
      <c r="G145" s="28"/>
      <c r="H145" s="28" t="s">
        <v>54</v>
      </c>
      <c r="I145" s="28" t="s">
        <v>82</v>
      </c>
      <c r="J145" s="28">
        <v>0</v>
      </c>
    </row>
    <row r="146" spans="1:10" ht="15.6" x14ac:dyDescent="0.3">
      <c r="A146" s="27">
        <v>45417</v>
      </c>
      <c r="B146" s="28" t="s">
        <v>44</v>
      </c>
      <c r="C146" s="28" t="s">
        <v>21</v>
      </c>
      <c r="D146" s="28" t="s">
        <v>39</v>
      </c>
      <c r="E146" s="28">
        <v>255</v>
      </c>
      <c r="F146" s="27">
        <v>45447</v>
      </c>
      <c r="G146" s="27">
        <v>45450</v>
      </c>
      <c r="H146" s="28" t="s">
        <v>18</v>
      </c>
      <c r="I146" s="28" t="s">
        <v>81</v>
      </c>
      <c r="J146" s="28">
        <v>3</v>
      </c>
    </row>
    <row r="147" spans="1:10" ht="15.6" x14ac:dyDescent="0.3">
      <c r="A147" s="27">
        <v>45512</v>
      </c>
      <c r="B147" s="28" t="s">
        <v>44</v>
      </c>
      <c r="C147" s="28" t="s">
        <v>21</v>
      </c>
      <c r="D147" s="28" t="s">
        <v>39</v>
      </c>
      <c r="E147" s="28">
        <v>63</v>
      </c>
      <c r="F147" s="27">
        <v>45519</v>
      </c>
      <c r="G147" s="28"/>
      <c r="H147" s="28" t="s">
        <v>13</v>
      </c>
      <c r="I147" s="28" t="s">
        <v>82</v>
      </c>
      <c r="J147" s="28">
        <v>0</v>
      </c>
    </row>
    <row r="148" spans="1:10" ht="15.6" x14ac:dyDescent="0.3">
      <c r="A148" s="27">
        <v>45437</v>
      </c>
      <c r="B148" s="28" t="s">
        <v>44</v>
      </c>
      <c r="C148" s="28" t="s">
        <v>21</v>
      </c>
      <c r="D148" s="28" t="s">
        <v>39</v>
      </c>
      <c r="E148" s="28">
        <v>446</v>
      </c>
      <c r="F148" s="27">
        <v>45467</v>
      </c>
      <c r="G148" s="27">
        <v>45467</v>
      </c>
      <c r="H148" s="28" t="s">
        <v>18</v>
      </c>
      <c r="I148" s="28" t="s">
        <v>83</v>
      </c>
      <c r="J148" s="28">
        <v>0</v>
      </c>
    </row>
    <row r="149" spans="1:10" ht="15.6" x14ac:dyDescent="0.3">
      <c r="A149" s="27">
        <v>45569</v>
      </c>
      <c r="B149" s="28" t="s">
        <v>44</v>
      </c>
      <c r="C149" s="28" t="s">
        <v>21</v>
      </c>
      <c r="D149" s="28" t="s">
        <v>26</v>
      </c>
      <c r="E149" s="28">
        <v>34</v>
      </c>
      <c r="F149" s="27">
        <v>45576</v>
      </c>
      <c r="G149" s="28"/>
      <c r="H149" s="28" t="s">
        <v>13</v>
      </c>
      <c r="I149" s="28" t="s">
        <v>82</v>
      </c>
      <c r="J149" s="28">
        <v>0</v>
      </c>
    </row>
    <row r="150" spans="1:10" ht="15.6" x14ac:dyDescent="0.3">
      <c r="A150" s="27">
        <v>45499</v>
      </c>
      <c r="B150" s="28" t="s">
        <v>44</v>
      </c>
      <c r="C150" s="28" t="s">
        <v>21</v>
      </c>
      <c r="D150" s="28" t="s">
        <v>26</v>
      </c>
      <c r="E150" s="28">
        <v>490</v>
      </c>
      <c r="F150" s="27">
        <v>45529</v>
      </c>
      <c r="G150" s="27">
        <v>45529</v>
      </c>
      <c r="H150" s="28" t="s">
        <v>18</v>
      </c>
      <c r="I150" s="28" t="s">
        <v>83</v>
      </c>
      <c r="J150" s="28">
        <v>0</v>
      </c>
    </row>
    <row r="151" spans="1:10" ht="15.6" x14ac:dyDescent="0.3">
      <c r="A151" s="27">
        <v>45420</v>
      </c>
      <c r="B151" s="28" t="s">
        <v>44</v>
      </c>
      <c r="C151" s="28" t="s">
        <v>21</v>
      </c>
      <c r="D151" s="28" t="s">
        <v>22</v>
      </c>
      <c r="E151" s="28">
        <v>15</v>
      </c>
      <c r="F151" s="27">
        <v>45427</v>
      </c>
      <c r="G151" s="27">
        <v>45427</v>
      </c>
      <c r="H151" s="28" t="s">
        <v>18</v>
      </c>
      <c r="I151" s="28" t="s">
        <v>83</v>
      </c>
      <c r="J151" s="28">
        <v>0</v>
      </c>
    </row>
    <row r="152" spans="1:10" ht="15.6" x14ac:dyDescent="0.3">
      <c r="A152" s="27">
        <v>45497</v>
      </c>
      <c r="B152" s="28" t="s">
        <v>44</v>
      </c>
      <c r="C152" s="28" t="s">
        <v>21</v>
      </c>
      <c r="D152" s="28" t="s">
        <v>22</v>
      </c>
      <c r="E152" s="28">
        <v>403</v>
      </c>
      <c r="F152" s="27">
        <v>45542</v>
      </c>
      <c r="G152" s="27">
        <v>45542</v>
      </c>
      <c r="H152" s="28" t="s">
        <v>18</v>
      </c>
      <c r="I152" s="28" t="s">
        <v>83</v>
      </c>
      <c r="J152" s="28">
        <v>0</v>
      </c>
    </row>
    <row r="153" spans="1:10" ht="15.6" x14ac:dyDescent="0.3">
      <c r="A153" s="27">
        <v>45565</v>
      </c>
      <c r="B153" s="28" t="s">
        <v>44</v>
      </c>
      <c r="C153" s="28" t="s">
        <v>21</v>
      </c>
      <c r="D153" s="28" t="s">
        <v>22</v>
      </c>
      <c r="E153" s="28">
        <v>342</v>
      </c>
      <c r="F153" s="27">
        <v>45572</v>
      </c>
      <c r="G153" s="27">
        <v>45572</v>
      </c>
      <c r="H153" s="28" t="s">
        <v>18</v>
      </c>
      <c r="I153" s="28" t="s">
        <v>83</v>
      </c>
      <c r="J153" s="28">
        <v>0</v>
      </c>
    </row>
    <row r="154" spans="1:10" ht="15.6" x14ac:dyDescent="0.3">
      <c r="A154" s="27">
        <v>45414</v>
      </c>
      <c r="B154" s="28" t="s">
        <v>44</v>
      </c>
      <c r="C154" s="28" t="s">
        <v>21</v>
      </c>
      <c r="D154" s="28" t="s">
        <v>12</v>
      </c>
      <c r="E154" s="28">
        <v>435</v>
      </c>
      <c r="F154" s="27">
        <v>45428</v>
      </c>
      <c r="G154" s="27">
        <v>45428</v>
      </c>
      <c r="H154" s="28" t="s">
        <v>18</v>
      </c>
      <c r="I154" s="28" t="s">
        <v>83</v>
      </c>
      <c r="J154" s="28">
        <v>0</v>
      </c>
    </row>
    <row r="155" spans="1:10" ht="15.6" x14ac:dyDescent="0.3">
      <c r="A155" s="27">
        <v>45534</v>
      </c>
      <c r="B155" s="28" t="s">
        <v>44</v>
      </c>
      <c r="C155" s="28" t="s">
        <v>21</v>
      </c>
      <c r="D155" s="28" t="s">
        <v>12</v>
      </c>
      <c r="E155" s="28">
        <v>418</v>
      </c>
      <c r="F155" s="27">
        <v>45548</v>
      </c>
      <c r="G155" s="28"/>
      <c r="H155" s="28" t="s">
        <v>13</v>
      </c>
      <c r="I155" s="28" t="s">
        <v>82</v>
      </c>
      <c r="J155" s="28">
        <v>0</v>
      </c>
    </row>
    <row r="156" spans="1:10" ht="15.6" x14ac:dyDescent="0.3">
      <c r="A156" s="27">
        <v>45383</v>
      </c>
      <c r="B156" s="28" t="s">
        <v>20</v>
      </c>
      <c r="C156" s="28" t="s">
        <v>21</v>
      </c>
      <c r="D156" s="28" t="s">
        <v>49</v>
      </c>
      <c r="E156" s="28">
        <v>215</v>
      </c>
      <c r="F156" s="27">
        <v>45404</v>
      </c>
      <c r="G156" s="28"/>
      <c r="H156" s="28" t="s">
        <v>13</v>
      </c>
      <c r="I156" s="28" t="s">
        <v>82</v>
      </c>
      <c r="J156" s="28">
        <v>0</v>
      </c>
    </row>
    <row r="157" spans="1:10" ht="15.6" x14ac:dyDescent="0.3">
      <c r="A157" s="27">
        <v>45418</v>
      </c>
      <c r="B157" s="28" t="s">
        <v>20</v>
      </c>
      <c r="C157" s="28" t="s">
        <v>21</v>
      </c>
      <c r="D157" s="28" t="s">
        <v>49</v>
      </c>
      <c r="E157" s="28">
        <v>273</v>
      </c>
      <c r="F157" s="27">
        <v>45448</v>
      </c>
      <c r="G157" s="28"/>
      <c r="H157" s="28" t="s">
        <v>31</v>
      </c>
      <c r="I157" s="28" t="s">
        <v>82</v>
      </c>
      <c r="J157" s="28">
        <v>0</v>
      </c>
    </row>
    <row r="158" spans="1:10" ht="15.6" x14ac:dyDescent="0.3">
      <c r="A158" s="27">
        <v>45442</v>
      </c>
      <c r="B158" s="28" t="s">
        <v>20</v>
      </c>
      <c r="C158" s="28" t="s">
        <v>21</v>
      </c>
      <c r="D158" s="28" t="s">
        <v>49</v>
      </c>
      <c r="E158" s="28">
        <v>268</v>
      </c>
      <c r="F158" s="27">
        <v>45456</v>
      </c>
      <c r="G158" s="27">
        <v>45472</v>
      </c>
      <c r="H158" s="28" t="s">
        <v>18</v>
      </c>
      <c r="I158" s="28" t="s">
        <v>81</v>
      </c>
      <c r="J158" s="28">
        <v>16</v>
      </c>
    </row>
    <row r="159" spans="1:10" ht="15.6" x14ac:dyDescent="0.3">
      <c r="A159" s="27">
        <v>45454</v>
      </c>
      <c r="B159" s="28" t="s">
        <v>20</v>
      </c>
      <c r="C159" s="28" t="s">
        <v>21</v>
      </c>
      <c r="D159" s="28" t="s">
        <v>39</v>
      </c>
      <c r="E159" s="28">
        <v>420</v>
      </c>
      <c r="F159" s="27">
        <v>45484</v>
      </c>
      <c r="G159" s="28"/>
      <c r="H159" s="28" t="s">
        <v>13</v>
      </c>
      <c r="I159" s="28" t="s">
        <v>82</v>
      </c>
      <c r="J159" s="28">
        <v>0</v>
      </c>
    </row>
    <row r="160" spans="1:10" ht="15.6" x14ac:dyDescent="0.3">
      <c r="A160" s="27">
        <v>45494</v>
      </c>
      <c r="B160" s="28" t="s">
        <v>20</v>
      </c>
      <c r="C160" s="28" t="s">
        <v>21</v>
      </c>
      <c r="D160" s="28" t="s">
        <v>39</v>
      </c>
      <c r="E160" s="28">
        <v>386</v>
      </c>
      <c r="F160" s="27">
        <v>45515</v>
      </c>
      <c r="G160" s="28"/>
      <c r="H160" s="28" t="s">
        <v>54</v>
      </c>
      <c r="I160" s="28" t="s">
        <v>82</v>
      </c>
      <c r="J160" s="28">
        <v>0</v>
      </c>
    </row>
    <row r="161" spans="1:10" ht="15.6" x14ac:dyDescent="0.3">
      <c r="A161" s="27">
        <v>45315</v>
      </c>
      <c r="B161" s="28" t="s">
        <v>20</v>
      </c>
      <c r="C161" s="28" t="s">
        <v>21</v>
      </c>
      <c r="D161" s="28" t="s">
        <v>39</v>
      </c>
      <c r="E161" s="28">
        <v>317</v>
      </c>
      <c r="F161" s="27">
        <v>45329</v>
      </c>
      <c r="G161" s="28"/>
      <c r="H161" s="28" t="s">
        <v>31</v>
      </c>
      <c r="I161" s="28" t="s">
        <v>82</v>
      </c>
      <c r="J161" s="28">
        <v>0</v>
      </c>
    </row>
    <row r="162" spans="1:10" ht="15.6" x14ac:dyDescent="0.3">
      <c r="A162" s="27">
        <v>45645</v>
      </c>
      <c r="B162" s="28" t="s">
        <v>20</v>
      </c>
      <c r="C162" s="28" t="s">
        <v>21</v>
      </c>
      <c r="D162" s="28" t="s">
        <v>26</v>
      </c>
      <c r="E162" s="28">
        <v>356</v>
      </c>
      <c r="F162" s="27">
        <v>45666</v>
      </c>
      <c r="G162" s="27">
        <v>45666</v>
      </c>
      <c r="H162" s="28" t="s">
        <v>18</v>
      </c>
      <c r="I162" s="28" t="s">
        <v>83</v>
      </c>
      <c r="J162" s="28">
        <v>0</v>
      </c>
    </row>
    <row r="163" spans="1:10" ht="15.6" x14ac:dyDescent="0.3">
      <c r="A163" s="27">
        <v>45522</v>
      </c>
      <c r="B163" s="28" t="s">
        <v>20</v>
      </c>
      <c r="C163" s="28" t="s">
        <v>21</v>
      </c>
      <c r="D163" s="28" t="s">
        <v>22</v>
      </c>
      <c r="E163" s="28">
        <v>433</v>
      </c>
      <c r="F163" s="27">
        <v>45529</v>
      </c>
      <c r="G163" s="28"/>
      <c r="H163" s="28" t="s">
        <v>54</v>
      </c>
      <c r="I163" s="28" t="s">
        <v>82</v>
      </c>
      <c r="J163" s="28">
        <v>0</v>
      </c>
    </row>
    <row r="164" spans="1:10" ht="15.6" x14ac:dyDescent="0.3">
      <c r="A164" s="27">
        <v>45373</v>
      </c>
      <c r="B164" s="28" t="s">
        <v>20</v>
      </c>
      <c r="C164" s="28" t="s">
        <v>21</v>
      </c>
      <c r="D164" s="28" t="s">
        <v>22</v>
      </c>
      <c r="E164" s="28">
        <v>199</v>
      </c>
      <c r="F164" s="27">
        <v>45403</v>
      </c>
      <c r="G164" s="27">
        <v>45403</v>
      </c>
      <c r="H164" s="28" t="s">
        <v>18</v>
      </c>
      <c r="I164" s="28" t="s">
        <v>83</v>
      </c>
      <c r="J164" s="28">
        <v>0</v>
      </c>
    </row>
    <row r="165" spans="1:10" ht="15.6" x14ac:dyDescent="0.3">
      <c r="A165" s="27">
        <v>45427</v>
      </c>
      <c r="B165" s="28" t="s">
        <v>20</v>
      </c>
      <c r="C165" s="28" t="s">
        <v>21</v>
      </c>
      <c r="D165" s="28" t="s">
        <v>12</v>
      </c>
      <c r="E165" s="28">
        <v>426</v>
      </c>
      <c r="F165" s="27">
        <v>45472</v>
      </c>
      <c r="G165" s="27">
        <v>45472</v>
      </c>
      <c r="H165" s="28" t="s">
        <v>18</v>
      </c>
      <c r="I165" s="28" t="s">
        <v>83</v>
      </c>
      <c r="J165" s="28">
        <v>0</v>
      </c>
    </row>
    <row r="166" spans="1:10" ht="15.6" x14ac:dyDescent="0.3">
      <c r="A166" s="27">
        <v>45371</v>
      </c>
      <c r="B166" s="28" t="s">
        <v>20</v>
      </c>
      <c r="C166" s="28" t="s">
        <v>21</v>
      </c>
      <c r="D166" s="28" t="s">
        <v>12</v>
      </c>
      <c r="E166" s="28">
        <v>30</v>
      </c>
      <c r="F166" s="27">
        <v>45385</v>
      </c>
      <c r="G166" s="28"/>
      <c r="H166" s="28" t="s">
        <v>13</v>
      </c>
      <c r="I166" s="28" t="s">
        <v>82</v>
      </c>
      <c r="J166" s="28">
        <v>0</v>
      </c>
    </row>
    <row r="167" spans="1:10" ht="15.6" x14ac:dyDescent="0.3">
      <c r="A167" s="27">
        <v>45620</v>
      </c>
      <c r="B167" s="28" t="s">
        <v>20</v>
      </c>
      <c r="C167" s="28" t="s">
        <v>21</v>
      </c>
      <c r="D167" s="28" t="s">
        <v>12</v>
      </c>
      <c r="E167" s="28">
        <v>332</v>
      </c>
      <c r="F167" s="27">
        <v>45665</v>
      </c>
      <c r="G167" s="27">
        <v>45665</v>
      </c>
      <c r="H167" s="28" t="s">
        <v>18</v>
      </c>
      <c r="I167" s="28" t="s">
        <v>83</v>
      </c>
      <c r="J167" s="28">
        <v>0</v>
      </c>
    </row>
    <row r="168" spans="1:10" ht="15.6" x14ac:dyDescent="0.3">
      <c r="A168" s="27">
        <v>45481</v>
      </c>
      <c r="B168" s="28" t="s">
        <v>28</v>
      </c>
      <c r="C168" s="28" t="s">
        <v>21</v>
      </c>
      <c r="D168" s="28" t="s">
        <v>49</v>
      </c>
      <c r="E168" s="28">
        <v>465</v>
      </c>
      <c r="F168" s="27">
        <v>45526</v>
      </c>
      <c r="G168" s="27">
        <v>45526</v>
      </c>
      <c r="H168" s="28" t="s">
        <v>18</v>
      </c>
      <c r="I168" s="28" t="s">
        <v>83</v>
      </c>
      <c r="J168" s="28">
        <v>0</v>
      </c>
    </row>
    <row r="169" spans="1:10" ht="15.6" x14ac:dyDescent="0.3">
      <c r="A169" s="27">
        <v>45482</v>
      </c>
      <c r="B169" s="28" t="s">
        <v>28</v>
      </c>
      <c r="C169" s="28" t="s">
        <v>21</v>
      </c>
      <c r="D169" s="28" t="s">
        <v>49</v>
      </c>
      <c r="E169" s="28">
        <v>369</v>
      </c>
      <c r="F169" s="27">
        <v>45527</v>
      </c>
      <c r="G169" s="28"/>
      <c r="H169" s="28" t="s">
        <v>31</v>
      </c>
      <c r="I169" s="28" t="s">
        <v>82</v>
      </c>
      <c r="J169" s="28">
        <v>0</v>
      </c>
    </row>
    <row r="170" spans="1:10" ht="15.6" x14ac:dyDescent="0.3">
      <c r="A170" s="27">
        <v>45340</v>
      </c>
      <c r="B170" s="28" t="s">
        <v>28</v>
      </c>
      <c r="C170" s="28" t="s">
        <v>21</v>
      </c>
      <c r="D170" s="28" t="s">
        <v>49</v>
      </c>
      <c r="E170" s="28">
        <v>122</v>
      </c>
      <c r="F170" s="27">
        <v>45385</v>
      </c>
      <c r="G170" s="28"/>
      <c r="H170" s="28" t="s">
        <v>31</v>
      </c>
      <c r="I170" s="28" t="s">
        <v>82</v>
      </c>
      <c r="J170" s="28">
        <v>0</v>
      </c>
    </row>
    <row r="171" spans="1:10" ht="15.6" x14ac:dyDescent="0.3">
      <c r="A171" s="27">
        <v>45524</v>
      </c>
      <c r="B171" s="28" t="s">
        <v>28</v>
      </c>
      <c r="C171" s="28" t="s">
        <v>21</v>
      </c>
      <c r="D171" s="28" t="s">
        <v>49</v>
      </c>
      <c r="E171" s="28">
        <v>333</v>
      </c>
      <c r="F171" s="27">
        <v>45531</v>
      </c>
      <c r="G171" s="28"/>
      <c r="H171" s="28" t="s">
        <v>13</v>
      </c>
      <c r="I171" s="28" t="s">
        <v>82</v>
      </c>
      <c r="J171" s="28">
        <v>0</v>
      </c>
    </row>
    <row r="172" spans="1:10" ht="15.6" x14ac:dyDescent="0.3">
      <c r="A172" s="27">
        <v>45593</v>
      </c>
      <c r="B172" s="28" t="s">
        <v>28</v>
      </c>
      <c r="C172" s="28" t="s">
        <v>21</v>
      </c>
      <c r="D172" s="28" t="s">
        <v>49</v>
      </c>
      <c r="E172" s="28">
        <v>55</v>
      </c>
      <c r="F172" s="27">
        <v>45623</v>
      </c>
      <c r="G172" s="27">
        <v>45643</v>
      </c>
      <c r="H172" s="28" t="s">
        <v>18</v>
      </c>
      <c r="I172" s="28" t="s">
        <v>81</v>
      </c>
      <c r="J172" s="28">
        <v>20</v>
      </c>
    </row>
    <row r="173" spans="1:10" ht="15.6" x14ac:dyDescent="0.3">
      <c r="A173" s="27">
        <v>45449</v>
      </c>
      <c r="B173" s="28" t="s">
        <v>28</v>
      </c>
      <c r="C173" s="28" t="s">
        <v>21</v>
      </c>
      <c r="D173" s="28" t="s">
        <v>17</v>
      </c>
      <c r="E173" s="28">
        <v>422</v>
      </c>
      <c r="F173" s="27">
        <v>45463</v>
      </c>
      <c r="G173" s="27">
        <v>45466</v>
      </c>
      <c r="H173" s="28" t="s">
        <v>18</v>
      </c>
      <c r="I173" s="28" t="s">
        <v>81</v>
      </c>
      <c r="J173" s="28">
        <v>3</v>
      </c>
    </row>
    <row r="174" spans="1:10" ht="15.6" x14ac:dyDescent="0.3">
      <c r="A174" s="27">
        <v>45487</v>
      </c>
      <c r="B174" s="28" t="s">
        <v>28</v>
      </c>
      <c r="C174" s="28" t="s">
        <v>21</v>
      </c>
      <c r="D174" s="28" t="s">
        <v>39</v>
      </c>
      <c r="E174" s="28">
        <v>259</v>
      </c>
      <c r="F174" s="27">
        <v>45532</v>
      </c>
      <c r="G174" s="28"/>
      <c r="H174" s="28" t="s">
        <v>13</v>
      </c>
      <c r="I174" s="28" t="s">
        <v>82</v>
      </c>
      <c r="J174" s="28">
        <v>0</v>
      </c>
    </row>
    <row r="175" spans="1:10" ht="15.6" x14ac:dyDescent="0.3">
      <c r="A175" s="27">
        <v>45642</v>
      </c>
      <c r="B175" s="28" t="s">
        <v>28</v>
      </c>
      <c r="C175" s="28" t="s">
        <v>21</v>
      </c>
      <c r="D175" s="28" t="s">
        <v>26</v>
      </c>
      <c r="E175" s="28">
        <v>250</v>
      </c>
      <c r="F175" s="27">
        <v>45672</v>
      </c>
      <c r="G175" s="28"/>
      <c r="H175" s="28" t="s">
        <v>31</v>
      </c>
      <c r="I175" s="28" t="s">
        <v>82</v>
      </c>
      <c r="J175" s="28">
        <v>0</v>
      </c>
    </row>
    <row r="176" spans="1:10" ht="15.6" x14ac:dyDescent="0.3">
      <c r="A176" s="27">
        <v>45411</v>
      </c>
      <c r="B176" s="28" t="s">
        <v>28</v>
      </c>
      <c r="C176" s="28" t="s">
        <v>21</v>
      </c>
      <c r="D176" s="28" t="s">
        <v>22</v>
      </c>
      <c r="E176" s="28">
        <v>186</v>
      </c>
      <c r="F176" s="27">
        <v>45418</v>
      </c>
      <c r="G176" s="27">
        <v>45418</v>
      </c>
      <c r="H176" s="28" t="s">
        <v>18</v>
      </c>
      <c r="I176" s="28" t="s">
        <v>83</v>
      </c>
      <c r="J176" s="28">
        <v>0</v>
      </c>
    </row>
    <row r="177" spans="1:10" ht="15.6" x14ac:dyDescent="0.3">
      <c r="A177" s="27">
        <v>45308</v>
      </c>
      <c r="B177" s="28" t="s">
        <v>28</v>
      </c>
      <c r="C177" s="28" t="s">
        <v>21</v>
      </c>
      <c r="D177" s="28" t="s">
        <v>12</v>
      </c>
      <c r="E177" s="28">
        <v>166</v>
      </c>
      <c r="F177" s="27">
        <v>45329</v>
      </c>
      <c r="G177" s="27">
        <v>45334</v>
      </c>
      <c r="H177" s="28" t="s">
        <v>18</v>
      </c>
      <c r="I177" s="28" t="s">
        <v>81</v>
      </c>
      <c r="J177" s="28">
        <v>5</v>
      </c>
    </row>
    <row r="178" spans="1:10" ht="15.6" x14ac:dyDescent="0.3">
      <c r="A178" s="27">
        <v>45326</v>
      </c>
      <c r="B178" s="28" t="s">
        <v>46</v>
      </c>
      <c r="C178" s="28" t="s">
        <v>36</v>
      </c>
      <c r="D178" s="28" t="s">
        <v>49</v>
      </c>
      <c r="E178" s="28">
        <v>381</v>
      </c>
      <c r="F178" s="27">
        <v>45347</v>
      </c>
      <c r="G178" s="27">
        <v>45350</v>
      </c>
      <c r="H178" s="28" t="s">
        <v>18</v>
      </c>
      <c r="I178" s="28" t="s">
        <v>81</v>
      </c>
      <c r="J178" s="28">
        <v>3</v>
      </c>
    </row>
    <row r="179" spans="1:10" ht="15.6" x14ac:dyDescent="0.3">
      <c r="A179" s="27">
        <v>45621</v>
      </c>
      <c r="B179" s="28" t="s">
        <v>46</v>
      </c>
      <c r="C179" s="28" t="s">
        <v>36</v>
      </c>
      <c r="D179" s="28" t="s">
        <v>49</v>
      </c>
      <c r="E179" s="28">
        <v>168</v>
      </c>
      <c r="F179" s="27">
        <v>45651</v>
      </c>
      <c r="G179" s="28"/>
      <c r="H179" s="28" t="s">
        <v>13</v>
      </c>
      <c r="I179" s="28" t="s">
        <v>82</v>
      </c>
      <c r="J179" s="28">
        <v>0</v>
      </c>
    </row>
    <row r="180" spans="1:10" ht="15.6" x14ac:dyDescent="0.3">
      <c r="A180" s="27">
        <v>45537</v>
      </c>
      <c r="B180" s="28" t="s">
        <v>46</v>
      </c>
      <c r="C180" s="28" t="s">
        <v>36</v>
      </c>
      <c r="D180" s="28" t="s">
        <v>17</v>
      </c>
      <c r="E180" s="28">
        <v>351</v>
      </c>
      <c r="F180" s="27">
        <v>45558</v>
      </c>
      <c r="G180" s="27">
        <v>45558</v>
      </c>
      <c r="H180" s="28" t="s">
        <v>18</v>
      </c>
      <c r="I180" s="28" t="s">
        <v>83</v>
      </c>
      <c r="J180" s="28">
        <v>0</v>
      </c>
    </row>
    <row r="181" spans="1:10" ht="15.6" x14ac:dyDescent="0.3">
      <c r="A181" s="27">
        <v>45508</v>
      </c>
      <c r="B181" s="28" t="s">
        <v>46</v>
      </c>
      <c r="C181" s="28" t="s">
        <v>36</v>
      </c>
      <c r="D181" s="28" t="s">
        <v>17</v>
      </c>
      <c r="E181" s="28">
        <v>377</v>
      </c>
      <c r="F181" s="27">
        <v>45538</v>
      </c>
      <c r="G181" s="27">
        <v>45538</v>
      </c>
      <c r="H181" s="28" t="s">
        <v>18</v>
      </c>
      <c r="I181" s="28" t="s">
        <v>83</v>
      </c>
      <c r="J181" s="28">
        <v>0</v>
      </c>
    </row>
    <row r="182" spans="1:10" ht="15.6" x14ac:dyDescent="0.3">
      <c r="A182" s="27">
        <v>45578</v>
      </c>
      <c r="B182" s="28" t="s">
        <v>46</v>
      </c>
      <c r="C182" s="28" t="s">
        <v>36</v>
      </c>
      <c r="D182" s="28" t="s">
        <v>17</v>
      </c>
      <c r="E182" s="28">
        <v>388</v>
      </c>
      <c r="F182" s="27">
        <v>45608</v>
      </c>
      <c r="G182" s="28"/>
      <c r="H182" s="28" t="s">
        <v>31</v>
      </c>
      <c r="I182" s="28" t="s">
        <v>82</v>
      </c>
      <c r="J182" s="28">
        <v>0</v>
      </c>
    </row>
    <row r="183" spans="1:10" ht="15.6" x14ac:dyDescent="0.3">
      <c r="A183" s="27">
        <v>45551</v>
      </c>
      <c r="B183" s="28" t="s">
        <v>46</v>
      </c>
      <c r="C183" s="28" t="s">
        <v>36</v>
      </c>
      <c r="D183" s="28" t="s">
        <v>17</v>
      </c>
      <c r="E183" s="28">
        <v>149</v>
      </c>
      <c r="F183" s="27">
        <v>45572</v>
      </c>
      <c r="G183" s="28"/>
      <c r="H183" s="28" t="s">
        <v>54</v>
      </c>
      <c r="I183" s="28" t="s">
        <v>82</v>
      </c>
      <c r="J183" s="28">
        <v>0</v>
      </c>
    </row>
    <row r="184" spans="1:10" ht="15.6" x14ac:dyDescent="0.3">
      <c r="A184" s="27">
        <v>45622</v>
      </c>
      <c r="B184" s="28" t="s">
        <v>46</v>
      </c>
      <c r="C184" s="28" t="s">
        <v>36</v>
      </c>
      <c r="D184" s="28" t="s">
        <v>17</v>
      </c>
      <c r="E184" s="28">
        <v>83</v>
      </c>
      <c r="F184" s="27">
        <v>45636</v>
      </c>
      <c r="G184" s="27">
        <v>45636</v>
      </c>
      <c r="H184" s="28" t="s">
        <v>18</v>
      </c>
      <c r="I184" s="28" t="s">
        <v>83</v>
      </c>
      <c r="J184" s="28">
        <v>0</v>
      </c>
    </row>
    <row r="185" spans="1:10" ht="15.6" x14ac:dyDescent="0.3">
      <c r="A185" s="27">
        <v>45316</v>
      </c>
      <c r="B185" s="28" t="s">
        <v>46</v>
      </c>
      <c r="C185" s="28" t="s">
        <v>36</v>
      </c>
      <c r="D185" s="28" t="s">
        <v>39</v>
      </c>
      <c r="E185" s="28">
        <v>463</v>
      </c>
      <c r="F185" s="27">
        <v>45337</v>
      </c>
      <c r="G185" s="27">
        <v>45339</v>
      </c>
      <c r="H185" s="28" t="s">
        <v>18</v>
      </c>
      <c r="I185" s="28" t="s">
        <v>81</v>
      </c>
      <c r="J185" s="28">
        <v>2</v>
      </c>
    </row>
    <row r="186" spans="1:10" ht="15.6" x14ac:dyDescent="0.3">
      <c r="A186" s="27">
        <v>45351</v>
      </c>
      <c r="B186" s="28" t="s">
        <v>46</v>
      </c>
      <c r="C186" s="28" t="s">
        <v>36</v>
      </c>
      <c r="D186" s="28" t="s">
        <v>39</v>
      </c>
      <c r="E186" s="28">
        <v>427</v>
      </c>
      <c r="F186" s="27">
        <v>45381</v>
      </c>
      <c r="G186" s="28"/>
      <c r="H186" s="28" t="s">
        <v>54</v>
      </c>
      <c r="I186" s="28" t="s">
        <v>82</v>
      </c>
      <c r="J186" s="28">
        <v>0</v>
      </c>
    </row>
    <row r="187" spans="1:10" ht="15.6" x14ac:dyDescent="0.3">
      <c r="A187" s="27">
        <v>45509</v>
      </c>
      <c r="B187" s="28" t="s">
        <v>46</v>
      </c>
      <c r="C187" s="28" t="s">
        <v>36</v>
      </c>
      <c r="D187" s="28" t="s">
        <v>26</v>
      </c>
      <c r="E187" s="28">
        <v>123</v>
      </c>
      <c r="F187" s="27">
        <v>45554</v>
      </c>
      <c r="G187" s="27">
        <v>45554</v>
      </c>
      <c r="H187" s="28" t="s">
        <v>18</v>
      </c>
      <c r="I187" s="28" t="s">
        <v>83</v>
      </c>
      <c r="J187" s="28">
        <v>0</v>
      </c>
    </row>
    <row r="188" spans="1:10" ht="15.6" x14ac:dyDescent="0.3">
      <c r="A188" s="27">
        <v>45592</v>
      </c>
      <c r="B188" s="28" t="s">
        <v>46</v>
      </c>
      <c r="C188" s="28" t="s">
        <v>36</v>
      </c>
      <c r="D188" s="28" t="s">
        <v>26</v>
      </c>
      <c r="E188" s="28">
        <v>159</v>
      </c>
      <c r="F188" s="27">
        <v>45613</v>
      </c>
      <c r="G188" s="27">
        <v>45613</v>
      </c>
      <c r="H188" s="28" t="s">
        <v>18</v>
      </c>
      <c r="I188" s="28" t="s">
        <v>83</v>
      </c>
      <c r="J188" s="28">
        <v>0</v>
      </c>
    </row>
    <row r="189" spans="1:10" ht="15.6" x14ac:dyDescent="0.3">
      <c r="A189" s="27">
        <v>45501</v>
      </c>
      <c r="B189" s="28" t="s">
        <v>46</v>
      </c>
      <c r="C189" s="28" t="s">
        <v>36</v>
      </c>
      <c r="D189" s="28" t="s">
        <v>22</v>
      </c>
      <c r="E189" s="28">
        <v>360</v>
      </c>
      <c r="F189" s="27">
        <v>45522</v>
      </c>
      <c r="G189" s="27">
        <v>45522</v>
      </c>
      <c r="H189" s="28" t="s">
        <v>18</v>
      </c>
      <c r="I189" s="28" t="s">
        <v>83</v>
      </c>
      <c r="J189" s="28">
        <v>0</v>
      </c>
    </row>
    <row r="190" spans="1:10" ht="15.6" x14ac:dyDescent="0.3">
      <c r="A190" s="27">
        <v>45436</v>
      </c>
      <c r="B190" s="28" t="s">
        <v>46</v>
      </c>
      <c r="C190" s="28" t="s">
        <v>36</v>
      </c>
      <c r="D190" s="28" t="s">
        <v>12</v>
      </c>
      <c r="E190" s="28">
        <v>267</v>
      </c>
      <c r="F190" s="27">
        <v>45466</v>
      </c>
      <c r="G190" s="27">
        <v>45466</v>
      </c>
      <c r="H190" s="28" t="s">
        <v>18</v>
      </c>
      <c r="I190" s="28" t="s">
        <v>83</v>
      </c>
      <c r="J190" s="28">
        <v>0</v>
      </c>
    </row>
    <row r="191" spans="1:10" ht="15.6" x14ac:dyDescent="0.3">
      <c r="A191" s="27">
        <v>45574</v>
      </c>
      <c r="B191" s="28" t="s">
        <v>51</v>
      </c>
      <c r="C191" s="28" t="s">
        <v>36</v>
      </c>
      <c r="D191" s="28" t="s">
        <v>49</v>
      </c>
      <c r="E191" s="28">
        <v>33</v>
      </c>
      <c r="F191" s="27">
        <v>45619</v>
      </c>
      <c r="G191" s="27">
        <v>45626</v>
      </c>
      <c r="H191" s="28" t="s">
        <v>18</v>
      </c>
      <c r="I191" s="28" t="s">
        <v>81</v>
      </c>
      <c r="J191" s="28">
        <v>7</v>
      </c>
    </row>
    <row r="192" spans="1:10" ht="15.6" x14ac:dyDescent="0.3">
      <c r="A192" s="27">
        <v>45427</v>
      </c>
      <c r="B192" s="28" t="s">
        <v>51</v>
      </c>
      <c r="C192" s="28" t="s">
        <v>36</v>
      </c>
      <c r="D192" s="28" t="s">
        <v>49</v>
      </c>
      <c r="E192" s="28">
        <v>441</v>
      </c>
      <c r="F192" s="27">
        <v>45448</v>
      </c>
      <c r="G192" s="27">
        <v>45457</v>
      </c>
      <c r="H192" s="28" t="s">
        <v>18</v>
      </c>
      <c r="I192" s="28" t="s">
        <v>81</v>
      </c>
      <c r="J192" s="28">
        <v>9</v>
      </c>
    </row>
    <row r="193" spans="1:10" ht="15.6" x14ac:dyDescent="0.3">
      <c r="A193" s="27">
        <v>45529</v>
      </c>
      <c r="B193" s="28" t="s">
        <v>51</v>
      </c>
      <c r="C193" s="28" t="s">
        <v>36</v>
      </c>
      <c r="D193" s="28" t="s">
        <v>49</v>
      </c>
      <c r="E193" s="28">
        <v>171</v>
      </c>
      <c r="F193" s="27">
        <v>45574</v>
      </c>
      <c r="G193" s="27">
        <v>45574</v>
      </c>
      <c r="H193" s="28" t="s">
        <v>18</v>
      </c>
      <c r="I193" s="28" t="s">
        <v>83</v>
      </c>
      <c r="J193" s="28">
        <v>0</v>
      </c>
    </row>
    <row r="194" spans="1:10" ht="15.6" x14ac:dyDescent="0.3">
      <c r="A194" s="27">
        <v>45508</v>
      </c>
      <c r="B194" s="28" t="s">
        <v>51</v>
      </c>
      <c r="C194" s="28" t="s">
        <v>36</v>
      </c>
      <c r="D194" s="28" t="s">
        <v>17</v>
      </c>
      <c r="E194" s="28">
        <v>312</v>
      </c>
      <c r="F194" s="27">
        <v>45515</v>
      </c>
      <c r="G194" s="28"/>
      <c r="H194" s="28" t="s">
        <v>31</v>
      </c>
      <c r="I194" s="28" t="s">
        <v>82</v>
      </c>
      <c r="J194" s="28">
        <v>0</v>
      </c>
    </row>
    <row r="195" spans="1:10" ht="15.6" x14ac:dyDescent="0.3">
      <c r="A195" s="27">
        <v>45558</v>
      </c>
      <c r="B195" s="28" t="s">
        <v>51</v>
      </c>
      <c r="C195" s="28" t="s">
        <v>36</v>
      </c>
      <c r="D195" s="28" t="s">
        <v>17</v>
      </c>
      <c r="E195" s="28">
        <v>125</v>
      </c>
      <c r="F195" s="27">
        <v>45588</v>
      </c>
      <c r="G195" s="27">
        <v>45590</v>
      </c>
      <c r="H195" s="28" t="s">
        <v>18</v>
      </c>
      <c r="I195" s="28" t="s">
        <v>81</v>
      </c>
      <c r="J195" s="28">
        <v>2</v>
      </c>
    </row>
    <row r="196" spans="1:10" ht="15.6" x14ac:dyDescent="0.3">
      <c r="A196" s="27">
        <v>45588</v>
      </c>
      <c r="B196" s="28" t="s">
        <v>51</v>
      </c>
      <c r="C196" s="28" t="s">
        <v>36</v>
      </c>
      <c r="D196" s="28" t="s">
        <v>17</v>
      </c>
      <c r="E196" s="28">
        <v>327</v>
      </c>
      <c r="F196" s="27">
        <v>45633</v>
      </c>
      <c r="G196" s="27">
        <v>45633</v>
      </c>
      <c r="H196" s="28" t="s">
        <v>18</v>
      </c>
      <c r="I196" s="28" t="s">
        <v>83</v>
      </c>
      <c r="J196" s="28">
        <v>0</v>
      </c>
    </row>
    <row r="197" spans="1:10" ht="15.6" x14ac:dyDescent="0.3">
      <c r="A197" s="27">
        <v>45651</v>
      </c>
      <c r="B197" s="28" t="s">
        <v>51</v>
      </c>
      <c r="C197" s="28" t="s">
        <v>36</v>
      </c>
      <c r="D197" s="28" t="s">
        <v>17</v>
      </c>
      <c r="E197" s="28">
        <v>423</v>
      </c>
      <c r="F197" s="27">
        <v>45658</v>
      </c>
      <c r="G197" s="27">
        <v>45658</v>
      </c>
      <c r="H197" s="28" t="s">
        <v>18</v>
      </c>
      <c r="I197" s="28" t="s">
        <v>83</v>
      </c>
      <c r="J197" s="28">
        <v>0</v>
      </c>
    </row>
    <row r="198" spans="1:10" ht="15.6" x14ac:dyDescent="0.3">
      <c r="A198" s="27">
        <v>45413</v>
      </c>
      <c r="B198" s="28" t="s">
        <v>51</v>
      </c>
      <c r="C198" s="28" t="s">
        <v>36</v>
      </c>
      <c r="D198" s="28" t="s">
        <v>39</v>
      </c>
      <c r="E198" s="28">
        <v>220</v>
      </c>
      <c r="F198" s="27">
        <v>45458</v>
      </c>
      <c r="G198" s="27">
        <v>45458</v>
      </c>
      <c r="H198" s="28" t="s">
        <v>18</v>
      </c>
      <c r="I198" s="28" t="s">
        <v>83</v>
      </c>
      <c r="J198" s="28">
        <v>0</v>
      </c>
    </row>
    <row r="199" spans="1:10" ht="15.6" x14ac:dyDescent="0.3">
      <c r="A199" s="27">
        <v>45610</v>
      </c>
      <c r="B199" s="28" t="s">
        <v>51</v>
      </c>
      <c r="C199" s="28" t="s">
        <v>36</v>
      </c>
      <c r="D199" s="28" t="s">
        <v>26</v>
      </c>
      <c r="E199" s="28">
        <v>290</v>
      </c>
      <c r="F199" s="27">
        <v>45655</v>
      </c>
      <c r="G199" s="28"/>
      <c r="H199" s="28" t="s">
        <v>13</v>
      </c>
      <c r="I199" s="28" t="s">
        <v>82</v>
      </c>
      <c r="J199" s="28">
        <v>0</v>
      </c>
    </row>
    <row r="200" spans="1:10" ht="15.6" x14ac:dyDescent="0.3">
      <c r="A200" s="27">
        <v>45374</v>
      </c>
      <c r="B200" s="28" t="s">
        <v>51</v>
      </c>
      <c r="C200" s="28" t="s">
        <v>36</v>
      </c>
      <c r="D200" s="28" t="s">
        <v>26</v>
      </c>
      <c r="E200" s="28">
        <v>471</v>
      </c>
      <c r="F200" s="27">
        <v>45395</v>
      </c>
      <c r="G200" s="27">
        <v>45395</v>
      </c>
      <c r="H200" s="28" t="s">
        <v>18</v>
      </c>
      <c r="I200" s="28" t="s">
        <v>83</v>
      </c>
      <c r="J200" s="28">
        <v>0</v>
      </c>
    </row>
    <row r="201" spans="1:10" ht="15.6" x14ac:dyDescent="0.3">
      <c r="A201" s="27">
        <v>45409</v>
      </c>
      <c r="B201" s="28" t="s">
        <v>51</v>
      </c>
      <c r="C201" s="28" t="s">
        <v>36</v>
      </c>
      <c r="D201" s="28" t="s">
        <v>12</v>
      </c>
      <c r="E201" s="28">
        <v>117</v>
      </c>
      <c r="F201" s="27">
        <v>45454</v>
      </c>
      <c r="G201" s="28"/>
      <c r="H201" s="28" t="s">
        <v>54</v>
      </c>
      <c r="I201" s="28" t="s">
        <v>82</v>
      </c>
      <c r="J201" s="28">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670EF-A307-488D-9A65-52D4C7F5D770}">
  <dimension ref="D14:F15"/>
  <sheetViews>
    <sheetView showGridLines="0" tabSelected="1" workbookViewId="0">
      <selection activeCell="H12" sqref="H12"/>
    </sheetView>
  </sheetViews>
  <sheetFormatPr defaultRowHeight="14.4" x14ac:dyDescent="0.3"/>
  <cols>
    <col min="1" max="1" width="19.33203125" bestFit="1" customWidth="1"/>
    <col min="2" max="2" width="26.6640625" bestFit="1" customWidth="1"/>
    <col min="3" max="3" width="22.44140625" bestFit="1" customWidth="1"/>
    <col min="4" max="4" width="19.33203125" bestFit="1" customWidth="1"/>
    <col min="5" max="5" width="26.6640625" bestFit="1" customWidth="1"/>
    <col min="6" max="6" width="22.44140625" bestFit="1" customWidth="1"/>
    <col min="7" max="7" width="19.33203125" bestFit="1" customWidth="1"/>
    <col min="8" max="8" width="26.6640625" bestFit="1" customWidth="1"/>
    <col min="9" max="9" width="22.44140625" bestFit="1" customWidth="1"/>
  </cols>
  <sheetData>
    <row r="14" spans="4:6" ht="25.2" x14ac:dyDescent="0.45">
      <c r="D14" s="22" t="s">
        <v>66</v>
      </c>
      <c r="E14" s="22" t="s">
        <v>68</v>
      </c>
      <c r="F14" s="22" t="s">
        <v>69</v>
      </c>
    </row>
    <row r="15" spans="4:6" ht="25.2" x14ac:dyDescent="0.3">
      <c r="D15" s="23">
        <v>200</v>
      </c>
      <c r="E15" s="24">
        <v>402579743.87000006</v>
      </c>
      <c r="F15" s="24">
        <v>14884948.037299987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E172-A787-4DC8-9015-1C94D6E2C99B}">
  <dimension ref="A3:D90"/>
  <sheetViews>
    <sheetView showGridLines="0" topLeftCell="B1" zoomScaleNormal="100" workbookViewId="0">
      <selection activeCell="Q13" sqref="Q13"/>
    </sheetView>
  </sheetViews>
  <sheetFormatPr defaultRowHeight="14.4" x14ac:dyDescent="0.3"/>
  <cols>
    <col min="1" max="1" width="17.109375" bestFit="1" customWidth="1"/>
    <col min="2" max="2" width="13.109375" bestFit="1" customWidth="1"/>
    <col min="3" max="3" width="20.6640625" style="2" bestFit="1" customWidth="1"/>
    <col min="4" max="4" width="23.33203125" bestFit="1" customWidth="1"/>
    <col min="5" max="5" width="9" bestFit="1" customWidth="1"/>
    <col min="6" max="6" width="7.5546875" bestFit="1" customWidth="1"/>
    <col min="7" max="7" width="13.109375" bestFit="1" customWidth="1"/>
    <col min="8" max="8" width="17.5546875" bestFit="1" customWidth="1"/>
    <col min="9" max="12" width="12.109375" bestFit="1" customWidth="1"/>
    <col min="13" max="13" width="13.109375" bestFit="1" customWidth="1"/>
    <col min="14" max="14" width="19.6640625" bestFit="1" customWidth="1"/>
    <col min="15" max="15" width="22.33203125" bestFit="1" customWidth="1"/>
  </cols>
  <sheetData>
    <row r="3" spans="1:4" x14ac:dyDescent="0.3">
      <c r="A3" s="10" t="s">
        <v>4</v>
      </c>
      <c r="B3" s="10" t="s">
        <v>3</v>
      </c>
      <c r="C3" t="s">
        <v>64</v>
      </c>
      <c r="D3" t="s">
        <v>65</v>
      </c>
    </row>
    <row r="4" spans="1:4" x14ac:dyDescent="0.3">
      <c r="A4" t="s">
        <v>49</v>
      </c>
      <c r="B4" t="s">
        <v>16</v>
      </c>
      <c r="C4">
        <v>5</v>
      </c>
      <c r="D4" s="2">
        <v>15009994.279999999</v>
      </c>
    </row>
    <row r="5" spans="1:4" x14ac:dyDescent="0.3">
      <c r="B5" t="s">
        <v>36</v>
      </c>
      <c r="C5">
        <v>5</v>
      </c>
      <c r="D5" s="2">
        <v>11224099.51999999</v>
      </c>
    </row>
    <row r="6" spans="1:4" x14ac:dyDescent="0.3">
      <c r="B6" t="s">
        <v>25</v>
      </c>
      <c r="C6">
        <v>1</v>
      </c>
      <c r="D6" s="2">
        <v>730153.44</v>
      </c>
    </row>
    <row r="7" spans="1:4" x14ac:dyDescent="0.3">
      <c r="B7" t="s">
        <v>42</v>
      </c>
      <c r="C7">
        <v>8</v>
      </c>
      <c r="D7" s="2">
        <v>11186190.15</v>
      </c>
    </row>
    <row r="8" spans="1:4" x14ac:dyDescent="0.3">
      <c r="B8" t="s">
        <v>21</v>
      </c>
      <c r="C8">
        <v>15</v>
      </c>
      <c r="D8" s="2">
        <v>26546008.830000002</v>
      </c>
    </row>
    <row r="9" spans="1:4" x14ac:dyDescent="0.3">
      <c r="B9" t="s">
        <v>11</v>
      </c>
      <c r="C9">
        <v>3</v>
      </c>
      <c r="D9" s="2">
        <v>2903100.6</v>
      </c>
    </row>
    <row r="10" spans="1:4" x14ac:dyDescent="0.3">
      <c r="A10" t="s">
        <v>71</v>
      </c>
      <c r="C10">
        <v>37</v>
      </c>
      <c r="D10" s="2">
        <v>67599546.819999993</v>
      </c>
    </row>
    <row r="11" spans="1:4" x14ac:dyDescent="0.3">
      <c r="A11" t="s">
        <v>17</v>
      </c>
      <c r="B11" t="s">
        <v>16</v>
      </c>
      <c r="C11">
        <v>7</v>
      </c>
      <c r="D11" s="2">
        <v>13722736.439999999</v>
      </c>
    </row>
    <row r="12" spans="1:4" x14ac:dyDescent="0.3">
      <c r="B12" t="s">
        <v>36</v>
      </c>
      <c r="C12">
        <v>10</v>
      </c>
      <c r="D12" s="2">
        <v>20317253.629999999</v>
      </c>
    </row>
    <row r="13" spans="1:4" x14ac:dyDescent="0.3">
      <c r="B13" t="s">
        <v>25</v>
      </c>
      <c r="C13">
        <v>3</v>
      </c>
      <c r="D13" s="2">
        <v>944930.11999999895</v>
      </c>
    </row>
    <row r="14" spans="1:4" x14ac:dyDescent="0.3">
      <c r="B14" t="s">
        <v>42</v>
      </c>
      <c r="C14">
        <v>9</v>
      </c>
      <c r="D14" s="2">
        <v>24464717.299999997</v>
      </c>
    </row>
    <row r="15" spans="1:4" x14ac:dyDescent="0.3">
      <c r="B15" t="s">
        <v>21</v>
      </c>
      <c r="C15">
        <v>3</v>
      </c>
      <c r="D15" s="2">
        <v>2387696.4700000002</v>
      </c>
    </row>
    <row r="16" spans="1:4" x14ac:dyDescent="0.3">
      <c r="A16" t="s">
        <v>72</v>
      </c>
      <c r="C16">
        <v>32</v>
      </c>
      <c r="D16" s="2">
        <v>61837333.959999993</v>
      </c>
    </row>
    <row r="17" spans="1:4" x14ac:dyDescent="0.3">
      <c r="A17" t="s">
        <v>39</v>
      </c>
      <c r="B17" t="s">
        <v>16</v>
      </c>
      <c r="C17">
        <v>7</v>
      </c>
      <c r="D17" s="2">
        <v>18441027.289999992</v>
      </c>
    </row>
    <row r="18" spans="1:4" x14ac:dyDescent="0.3">
      <c r="B18" t="s">
        <v>36</v>
      </c>
      <c r="C18">
        <v>5</v>
      </c>
      <c r="D18" s="2">
        <v>19206277.619999997</v>
      </c>
    </row>
    <row r="19" spans="1:4" x14ac:dyDescent="0.3">
      <c r="B19" t="s">
        <v>42</v>
      </c>
      <c r="C19">
        <v>3</v>
      </c>
      <c r="D19" s="2">
        <v>5118244.5600000005</v>
      </c>
    </row>
    <row r="20" spans="1:4" x14ac:dyDescent="0.3">
      <c r="B20" t="s">
        <v>21</v>
      </c>
      <c r="C20">
        <v>7</v>
      </c>
      <c r="D20" s="2">
        <v>18314120.100000001</v>
      </c>
    </row>
    <row r="21" spans="1:4" x14ac:dyDescent="0.3">
      <c r="B21" t="s">
        <v>11</v>
      </c>
      <c r="C21">
        <v>2</v>
      </c>
      <c r="D21" s="2">
        <v>8417257.1600000001</v>
      </c>
    </row>
    <row r="22" spans="1:4" x14ac:dyDescent="0.3">
      <c r="A22" t="s">
        <v>73</v>
      </c>
      <c r="C22">
        <v>24</v>
      </c>
      <c r="D22" s="2">
        <v>69496926.729999989</v>
      </c>
    </row>
    <row r="23" spans="1:4" x14ac:dyDescent="0.3">
      <c r="A23" t="s">
        <v>26</v>
      </c>
      <c r="B23" t="s">
        <v>16</v>
      </c>
      <c r="C23">
        <v>8</v>
      </c>
      <c r="D23" s="2">
        <v>16715734.639999999</v>
      </c>
    </row>
    <row r="24" spans="1:4" x14ac:dyDescent="0.3">
      <c r="B24" t="s">
        <v>36</v>
      </c>
      <c r="C24">
        <v>7</v>
      </c>
      <c r="D24" s="2">
        <v>9387284.6199999899</v>
      </c>
    </row>
    <row r="25" spans="1:4" x14ac:dyDescent="0.3">
      <c r="B25" t="s">
        <v>25</v>
      </c>
      <c r="C25">
        <v>5</v>
      </c>
      <c r="D25" s="2">
        <v>8384633</v>
      </c>
    </row>
    <row r="26" spans="1:4" x14ac:dyDescent="0.3">
      <c r="B26" t="s">
        <v>42</v>
      </c>
      <c r="C26">
        <v>11</v>
      </c>
      <c r="D26" s="2">
        <v>24712745.309999987</v>
      </c>
    </row>
    <row r="27" spans="1:4" x14ac:dyDescent="0.3">
      <c r="B27" t="s">
        <v>21</v>
      </c>
      <c r="C27">
        <v>5</v>
      </c>
      <c r="D27" s="2">
        <v>9026938.6500000004</v>
      </c>
    </row>
    <row r="28" spans="1:4" x14ac:dyDescent="0.3">
      <c r="B28" t="s">
        <v>11</v>
      </c>
      <c r="C28">
        <v>1</v>
      </c>
      <c r="D28" s="2">
        <v>405915.67</v>
      </c>
    </row>
    <row r="29" spans="1:4" x14ac:dyDescent="0.3">
      <c r="A29" t="s">
        <v>74</v>
      </c>
      <c r="C29">
        <v>37</v>
      </c>
      <c r="D29" s="2">
        <v>68633251.889999986</v>
      </c>
    </row>
    <row r="30" spans="1:4" x14ac:dyDescent="0.3">
      <c r="A30" t="s">
        <v>22</v>
      </c>
      <c r="B30" t="s">
        <v>16</v>
      </c>
      <c r="C30">
        <v>10</v>
      </c>
      <c r="D30" s="2">
        <v>17063481.369999997</v>
      </c>
    </row>
    <row r="31" spans="1:4" x14ac:dyDescent="0.3">
      <c r="B31" t="s">
        <v>36</v>
      </c>
      <c r="C31">
        <v>4</v>
      </c>
      <c r="D31" s="2">
        <v>5807859.52999999</v>
      </c>
    </row>
    <row r="32" spans="1:4" x14ac:dyDescent="0.3">
      <c r="B32" t="s">
        <v>25</v>
      </c>
      <c r="C32">
        <v>6</v>
      </c>
      <c r="D32" s="2">
        <v>7588150.1500000004</v>
      </c>
    </row>
    <row r="33" spans="1:4" x14ac:dyDescent="0.3">
      <c r="B33" t="s">
        <v>42</v>
      </c>
      <c r="C33">
        <v>3</v>
      </c>
      <c r="D33" s="2">
        <v>5977370.7599999998</v>
      </c>
    </row>
    <row r="34" spans="1:4" x14ac:dyDescent="0.3">
      <c r="B34" t="s">
        <v>21</v>
      </c>
      <c r="C34">
        <v>13</v>
      </c>
      <c r="D34" s="2">
        <v>25891547.319999997</v>
      </c>
    </row>
    <row r="35" spans="1:4" x14ac:dyDescent="0.3">
      <c r="B35" t="s">
        <v>11</v>
      </c>
      <c r="C35">
        <v>2</v>
      </c>
      <c r="D35" s="2">
        <v>2149110.1</v>
      </c>
    </row>
    <row r="36" spans="1:4" x14ac:dyDescent="0.3">
      <c r="A36" t="s">
        <v>75</v>
      </c>
      <c r="C36">
        <v>38</v>
      </c>
      <c r="D36" s="2">
        <v>64477519.229999982</v>
      </c>
    </row>
    <row r="37" spans="1:4" x14ac:dyDescent="0.3">
      <c r="A37" t="s">
        <v>12</v>
      </c>
      <c r="B37" t="s">
        <v>16</v>
      </c>
      <c r="C37">
        <v>5</v>
      </c>
      <c r="D37" s="2">
        <v>10581320.460000001</v>
      </c>
    </row>
    <row r="38" spans="1:4" x14ac:dyDescent="0.3">
      <c r="B38" t="s">
        <v>36</v>
      </c>
      <c r="C38">
        <v>5</v>
      </c>
      <c r="D38" s="2">
        <v>14336704.439999998</v>
      </c>
    </row>
    <row r="39" spans="1:4" x14ac:dyDescent="0.3">
      <c r="B39" t="s">
        <v>25</v>
      </c>
      <c r="C39">
        <v>4</v>
      </c>
      <c r="D39" s="2">
        <v>11054401.539999999</v>
      </c>
    </row>
    <row r="40" spans="1:4" x14ac:dyDescent="0.3">
      <c r="B40" t="s">
        <v>42</v>
      </c>
      <c r="C40">
        <v>8</v>
      </c>
      <c r="D40" s="2">
        <v>15563963.560000001</v>
      </c>
    </row>
    <row r="41" spans="1:4" x14ac:dyDescent="0.3">
      <c r="B41" t="s">
        <v>21</v>
      </c>
      <c r="C41">
        <v>8</v>
      </c>
      <c r="D41" s="2">
        <v>18464753.829999998</v>
      </c>
    </row>
    <row r="42" spans="1:4" x14ac:dyDescent="0.3">
      <c r="B42" t="s">
        <v>11</v>
      </c>
      <c r="C42">
        <v>2</v>
      </c>
      <c r="D42" s="2">
        <v>534021.41</v>
      </c>
    </row>
    <row r="43" spans="1:4" x14ac:dyDescent="0.3">
      <c r="A43" t="s">
        <v>76</v>
      </c>
      <c r="C43">
        <v>32</v>
      </c>
      <c r="D43" s="2">
        <v>70535165.239999995</v>
      </c>
    </row>
    <row r="44" spans="1:4" x14ac:dyDescent="0.3">
      <c r="C44"/>
    </row>
    <row r="45" spans="1:4" x14ac:dyDescent="0.3">
      <c r="C45"/>
    </row>
    <row r="46" spans="1:4" x14ac:dyDescent="0.3">
      <c r="C46"/>
    </row>
    <row r="47" spans="1:4" x14ac:dyDescent="0.3">
      <c r="C47"/>
    </row>
    <row r="48" spans="1:4" x14ac:dyDescent="0.3">
      <c r="C48"/>
    </row>
    <row r="49" spans="3:3" x14ac:dyDescent="0.3">
      <c r="C49"/>
    </row>
    <row r="50" spans="3:3" x14ac:dyDescent="0.3">
      <c r="C50"/>
    </row>
    <row r="51" spans="3:3" x14ac:dyDescent="0.3">
      <c r="C51"/>
    </row>
    <row r="52" spans="3:3" x14ac:dyDescent="0.3">
      <c r="C52"/>
    </row>
    <row r="53" spans="3:3" x14ac:dyDescent="0.3">
      <c r="C53"/>
    </row>
    <row r="54" spans="3:3" x14ac:dyDescent="0.3">
      <c r="C54"/>
    </row>
    <row r="55" spans="3:3" x14ac:dyDescent="0.3">
      <c r="C55"/>
    </row>
    <row r="56" spans="3:3" x14ac:dyDescent="0.3">
      <c r="C56"/>
    </row>
    <row r="57" spans="3:3" x14ac:dyDescent="0.3">
      <c r="C57"/>
    </row>
    <row r="58" spans="3:3" x14ac:dyDescent="0.3">
      <c r="C58"/>
    </row>
    <row r="59" spans="3:3" x14ac:dyDescent="0.3">
      <c r="C59"/>
    </row>
    <row r="60" spans="3:3" x14ac:dyDescent="0.3">
      <c r="C60"/>
    </row>
    <row r="61" spans="3:3" x14ac:dyDescent="0.3">
      <c r="C61"/>
    </row>
    <row r="62" spans="3:3" x14ac:dyDescent="0.3">
      <c r="C62"/>
    </row>
    <row r="63" spans="3:3" x14ac:dyDescent="0.3">
      <c r="C63"/>
    </row>
    <row r="64" spans="3:3" x14ac:dyDescent="0.3">
      <c r="C64"/>
    </row>
    <row r="65" spans="3:3" x14ac:dyDescent="0.3">
      <c r="C65"/>
    </row>
    <row r="66" spans="3:3" x14ac:dyDescent="0.3">
      <c r="C66"/>
    </row>
    <row r="67" spans="3:3" x14ac:dyDescent="0.3">
      <c r="C67"/>
    </row>
    <row r="68" spans="3:3" x14ac:dyDescent="0.3">
      <c r="C68"/>
    </row>
    <row r="69" spans="3:3" x14ac:dyDescent="0.3">
      <c r="C69"/>
    </row>
    <row r="70" spans="3:3" x14ac:dyDescent="0.3">
      <c r="C70"/>
    </row>
    <row r="71" spans="3:3" x14ac:dyDescent="0.3">
      <c r="C71"/>
    </row>
    <row r="72" spans="3:3" x14ac:dyDescent="0.3">
      <c r="C72"/>
    </row>
    <row r="73" spans="3:3" x14ac:dyDescent="0.3">
      <c r="C73"/>
    </row>
    <row r="74" spans="3:3" x14ac:dyDescent="0.3">
      <c r="C74"/>
    </row>
    <row r="75" spans="3:3" x14ac:dyDescent="0.3">
      <c r="C75"/>
    </row>
    <row r="76" spans="3:3" x14ac:dyDescent="0.3">
      <c r="C76"/>
    </row>
    <row r="77" spans="3:3" x14ac:dyDescent="0.3">
      <c r="C77"/>
    </row>
    <row r="78" spans="3:3" x14ac:dyDescent="0.3">
      <c r="C78"/>
    </row>
    <row r="79" spans="3:3" x14ac:dyDescent="0.3">
      <c r="C79"/>
    </row>
    <row r="80" spans="3:3" x14ac:dyDescent="0.3">
      <c r="C80"/>
    </row>
    <row r="81" spans="3:3" x14ac:dyDescent="0.3">
      <c r="C81"/>
    </row>
    <row r="82" spans="3:3" x14ac:dyDescent="0.3">
      <c r="C82"/>
    </row>
    <row r="83" spans="3:3" x14ac:dyDescent="0.3">
      <c r="C83"/>
    </row>
    <row r="84" spans="3:3" x14ac:dyDescent="0.3">
      <c r="C84"/>
    </row>
    <row r="85" spans="3:3" x14ac:dyDescent="0.3">
      <c r="C85"/>
    </row>
    <row r="86" spans="3:3" x14ac:dyDescent="0.3">
      <c r="C86"/>
    </row>
    <row r="87" spans="3:3" x14ac:dyDescent="0.3">
      <c r="C87"/>
    </row>
    <row r="88" spans="3:3" x14ac:dyDescent="0.3">
      <c r="C88"/>
    </row>
    <row r="89" spans="3:3" x14ac:dyDescent="0.3">
      <c r="C89"/>
    </row>
    <row r="90" spans="3:3" x14ac:dyDescent="0.3">
      <c r="C9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9C98-0C20-4D76-B9C8-E783B3D72335}">
  <dimension ref="A3:D10"/>
  <sheetViews>
    <sheetView showGridLines="0" workbookViewId="0">
      <selection activeCell="B11" sqref="B11"/>
    </sheetView>
  </sheetViews>
  <sheetFormatPr defaultRowHeight="14.4" x14ac:dyDescent="0.3"/>
  <cols>
    <col min="1" max="1" width="18.88671875" bestFit="1" customWidth="1"/>
    <col min="2" max="2" width="19.88671875" bestFit="1" customWidth="1"/>
    <col min="3" max="3" width="23.5546875" bestFit="1" customWidth="1"/>
    <col min="4" max="4" width="26.5546875" bestFit="1" customWidth="1"/>
    <col min="5" max="13" width="12.109375" bestFit="1" customWidth="1"/>
    <col min="14" max="72" width="13.21875" bestFit="1" customWidth="1"/>
    <col min="73" max="81" width="14.77734375" bestFit="1" customWidth="1"/>
    <col min="82" max="82" width="10.77734375" bestFit="1" customWidth="1"/>
  </cols>
  <sheetData>
    <row r="3" spans="1:4" ht="21" x14ac:dyDescent="0.4">
      <c r="A3" s="15" t="s">
        <v>63</v>
      </c>
      <c r="B3" s="20" t="s">
        <v>67</v>
      </c>
    </row>
    <row r="4" spans="1:4" ht="21" x14ac:dyDescent="0.4">
      <c r="A4" s="19" t="s">
        <v>17</v>
      </c>
      <c r="B4" s="18">
        <v>1646517.4637000002</v>
      </c>
    </row>
    <row r="5" spans="1:4" ht="21" x14ac:dyDescent="0.4">
      <c r="A5" s="19" t="s">
        <v>39</v>
      </c>
      <c r="B5" s="18">
        <v>2126830.2693999992</v>
      </c>
    </row>
    <row r="6" spans="1:4" ht="21" x14ac:dyDescent="0.4">
      <c r="A6" s="19" t="s">
        <v>22</v>
      </c>
      <c r="B6" s="18">
        <v>2196332.6494999989</v>
      </c>
    </row>
    <row r="7" spans="1:4" ht="21" x14ac:dyDescent="0.4">
      <c r="A7" s="19" t="s">
        <v>49</v>
      </c>
      <c r="B7" s="18">
        <v>2688672.311899995</v>
      </c>
    </row>
    <row r="8" spans="1:4" ht="21" x14ac:dyDescent="0.4">
      <c r="A8" s="19" t="s">
        <v>12</v>
      </c>
      <c r="B8" s="18">
        <v>3014819.708399999</v>
      </c>
    </row>
    <row r="9" spans="1:4" ht="21" x14ac:dyDescent="0.4">
      <c r="A9" s="19" t="s">
        <v>26</v>
      </c>
      <c r="B9" s="18">
        <v>3211775.634399998</v>
      </c>
    </row>
    <row r="10" spans="1:4" ht="21" x14ac:dyDescent="0.4">
      <c r="A10" s="12"/>
      <c r="B10" s="12"/>
      <c r="C10" s="12"/>
      <c r="D10" s="12"/>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95403-BAD3-45B0-A16C-D4F55042B1F1}">
  <dimension ref="A3:C18"/>
  <sheetViews>
    <sheetView showGridLines="0" topLeftCell="B1" zoomScale="90" zoomScaleNormal="90" workbookViewId="0">
      <selection activeCell="T22" sqref="T22"/>
    </sheetView>
  </sheetViews>
  <sheetFormatPr defaultRowHeight="14.4" x14ac:dyDescent="0.3"/>
  <cols>
    <col min="1" max="1" width="28.88671875" bestFit="1" customWidth="1"/>
    <col min="2" max="2" width="22.33203125" bestFit="1" customWidth="1"/>
    <col min="3" max="4" width="17.6640625" bestFit="1" customWidth="1"/>
    <col min="5" max="5" width="29" bestFit="1" customWidth="1"/>
  </cols>
  <sheetData>
    <row r="3" spans="1:3" ht="18" x14ac:dyDescent="0.35">
      <c r="A3" s="13" t="s">
        <v>63</v>
      </c>
      <c r="B3" s="14" t="s">
        <v>77</v>
      </c>
      <c r="C3" s="14" t="s">
        <v>78</v>
      </c>
    </row>
    <row r="4" spans="1:3" ht="18" x14ac:dyDescent="0.35">
      <c r="A4" s="21" t="s">
        <v>10</v>
      </c>
      <c r="B4" s="17">
        <v>14409404.939999999</v>
      </c>
      <c r="C4" s="17">
        <v>300473.95280000003</v>
      </c>
    </row>
    <row r="5" spans="1:3" ht="18" x14ac:dyDescent="0.35">
      <c r="A5" s="21" t="s">
        <v>53</v>
      </c>
      <c r="B5" s="17">
        <v>27606205.289999899</v>
      </c>
      <c r="C5" s="17">
        <v>441512.9399</v>
      </c>
    </row>
    <row r="6" spans="1:3" ht="18" x14ac:dyDescent="0.35">
      <c r="A6" s="21" t="s">
        <v>38</v>
      </c>
      <c r="B6" s="17">
        <v>27602889.68</v>
      </c>
      <c r="C6" s="17">
        <v>607892.8223</v>
      </c>
    </row>
    <row r="7" spans="1:3" ht="18" x14ac:dyDescent="0.35">
      <c r="A7" s="21" t="s">
        <v>51</v>
      </c>
      <c r="B7" s="17">
        <v>20690226.5499999</v>
      </c>
      <c r="C7" s="17">
        <v>764008.82709999999</v>
      </c>
    </row>
    <row r="8" spans="1:3" ht="18" x14ac:dyDescent="0.35">
      <c r="A8" s="21" t="s">
        <v>33</v>
      </c>
      <c r="B8" s="17">
        <v>31222962.029999901</v>
      </c>
      <c r="C8" s="17">
        <v>829701.80779999995</v>
      </c>
    </row>
    <row r="9" spans="1:3" ht="18" x14ac:dyDescent="0.35">
      <c r="A9" s="21" t="s">
        <v>20</v>
      </c>
      <c r="B9" s="17">
        <v>22528899.599999901</v>
      </c>
      <c r="C9" s="17">
        <v>863107.36750000005</v>
      </c>
    </row>
    <row r="10" spans="1:3" ht="18" x14ac:dyDescent="0.35">
      <c r="A10" s="21" t="s">
        <v>48</v>
      </c>
      <c r="B10" s="17">
        <v>27004595.5</v>
      </c>
      <c r="C10" s="17">
        <v>873540.57440000004</v>
      </c>
    </row>
    <row r="11" spans="1:3" ht="18" x14ac:dyDescent="0.35">
      <c r="A11" s="21" t="s">
        <v>41</v>
      </c>
      <c r="B11" s="17">
        <v>32412430.850000001</v>
      </c>
      <c r="C11" s="17">
        <v>967246.21629999997</v>
      </c>
    </row>
    <row r="12" spans="1:3" ht="18" x14ac:dyDescent="0.35">
      <c r="A12" s="21" t="s">
        <v>30</v>
      </c>
      <c r="B12" s="17">
        <v>19702229.379999999</v>
      </c>
      <c r="C12" s="17">
        <v>968326.21580000001</v>
      </c>
    </row>
    <row r="13" spans="1:3" ht="18" x14ac:dyDescent="0.35">
      <c r="A13" s="21" t="s">
        <v>46</v>
      </c>
      <c r="B13" s="17">
        <v>33256767.439999901</v>
      </c>
      <c r="C13" s="17">
        <v>1144953.1114999901</v>
      </c>
    </row>
    <row r="14" spans="1:3" ht="18" x14ac:dyDescent="0.35">
      <c r="A14" s="21" t="s">
        <v>15</v>
      </c>
      <c r="B14" s="17">
        <v>40609103.07</v>
      </c>
      <c r="C14" s="17">
        <v>1170605.3648999999</v>
      </c>
    </row>
    <row r="15" spans="1:3" ht="18" x14ac:dyDescent="0.35">
      <c r="A15" s="21" t="s">
        <v>28</v>
      </c>
      <c r="B15" s="17">
        <v>21776190.370000001</v>
      </c>
      <c r="C15" s="17">
        <v>1317521.21419999</v>
      </c>
    </row>
    <row r="16" spans="1:3" ht="18" x14ac:dyDescent="0.35">
      <c r="A16" s="21" t="s">
        <v>44</v>
      </c>
      <c r="B16" s="17">
        <v>28723085.5499999</v>
      </c>
      <c r="C16" s="17">
        <v>1379005.8862000001</v>
      </c>
    </row>
    <row r="17" spans="1:3" ht="18" x14ac:dyDescent="0.35">
      <c r="A17" s="21" t="s">
        <v>35</v>
      </c>
      <c r="B17" s="17">
        <v>26332485.370000001</v>
      </c>
      <c r="C17" s="17">
        <v>1446816.4992</v>
      </c>
    </row>
    <row r="18" spans="1:3" ht="18" x14ac:dyDescent="0.35">
      <c r="A18" s="21" t="s">
        <v>24</v>
      </c>
      <c r="B18" s="17">
        <v>28702268.249999899</v>
      </c>
      <c r="C18" s="17">
        <v>1810235.2374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DC641-DFE0-4F3A-B586-096368C6B226}">
  <dimension ref="A3:F100"/>
  <sheetViews>
    <sheetView workbookViewId="0">
      <selection activeCell="A6" sqref="A6:A11 A13:A17 A19:A24 A26:A30 A32:A36 A38:A42 A44:A48 A50:A54 A56:A60 A62:A66 A68:A73 A75:A79 A81:A86 A88:A93 A95:A99"/>
      <pivotSelection pane="bottomRight" showHeader="1" dimension="1" activeRow="8" click="1" r:id="rId1">
        <pivotArea dataOnly="0" labelOnly="1" fieldPosition="0">
          <references count="1">
            <reference field="3" count="0"/>
          </references>
        </pivotArea>
      </pivotSelection>
    </sheetView>
  </sheetViews>
  <sheetFormatPr defaultRowHeight="14.4" x14ac:dyDescent="0.3"/>
  <cols>
    <col min="1" max="1" width="24.109375" bestFit="1" customWidth="1"/>
    <col min="2" max="2" width="8.88671875" bestFit="1" customWidth="1"/>
    <col min="3" max="3" width="8.6640625" bestFit="1" customWidth="1"/>
    <col min="4" max="4" width="8.5546875" bestFit="1" customWidth="1"/>
    <col min="5" max="5" width="7.33203125" bestFit="1" customWidth="1"/>
    <col min="6" max="6" width="10.5546875" bestFit="1" customWidth="1"/>
    <col min="7" max="7" width="4.6640625" bestFit="1" customWidth="1"/>
    <col min="8" max="8" width="8.6640625" bestFit="1" customWidth="1"/>
    <col min="9" max="9" width="8.5546875" bestFit="1" customWidth="1"/>
    <col min="10" max="10" width="7.33203125" bestFit="1" customWidth="1"/>
    <col min="11" max="11" width="7.21875" bestFit="1" customWidth="1"/>
    <col min="12" max="12" width="9.88671875" bestFit="1" customWidth="1"/>
    <col min="13" max="13" width="8.6640625" bestFit="1" customWidth="1"/>
    <col min="14" max="14" width="8.5546875" bestFit="1" customWidth="1"/>
    <col min="15" max="15" width="7.33203125" bestFit="1" customWidth="1"/>
    <col min="16" max="16" width="12.5546875" bestFit="1" customWidth="1"/>
    <col min="17" max="17" width="11.88671875" bestFit="1" customWidth="1"/>
    <col min="18" max="18" width="8.6640625" bestFit="1" customWidth="1"/>
    <col min="19" max="19" width="8.5546875" bestFit="1" customWidth="1"/>
    <col min="20" max="20" width="7.33203125" bestFit="1" customWidth="1"/>
    <col min="21" max="21" width="14.6640625" bestFit="1" customWidth="1"/>
    <col min="22" max="22" width="8.88671875" bestFit="1" customWidth="1"/>
    <col min="23" max="23" width="8.6640625" bestFit="1" customWidth="1"/>
    <col min="24" max="24" width="8.5546875" bestFit="1" customWidth="1"/>
    <col min="25" max="25" width="7.33203125" bestFit="1" customWidth="1"/>
    <col min="26" max="26" width="11.44140625" bestFit="1" customWidth="1"/>
    <col min="27" max="27" width="8.88671875" bestFit="1" customWidth="1"/>
    <col min="28" max="28" width="8.6640625" bestFit="1" customWidth="1"/>
    <col min="29" max="29" width="8.5546875" bestFit="1" customWidth="1"/>
    <col min="30" max="30" width="7.33203125" bestFit="1" customWidth="1"/>
    <col min="31" max="31" width="9.33203125" bestFit="1" customWidth="1"/>
    <col min="32" max="32" width="16.6640625" bestFit="1" customWidth="1"/>
    <col min="33" max="33" width="13.6640625" bestFit="1" customWidth="1"/>
    <col min="34" max="34" width="10.6640625" bestFit="1" customWidth="1"/>
    <col min="35" max="35" width="7.77734375" bestFit="1" customWidth="1"/>
    <col min="36" max="36" width="13.44140625" bestFit="1" customWidth="1"/>
    <col min="37" max="37" width="16.6640625" bestFit="1" customWidth="1"/>
    <col min="38" max="38" width="13.33203125" bestFit="1" customWidth="1"/>
    <col min="39" max="39" width="16.6640625" bestFit="1" customWidth="1"/>
    <col min="40" max="40" width="12" bestFit="1" customWidth="1"/>
    <col min="41" max="41" width="14.6640625" bestFit="1" customWidth="1"/>
    <col min="42" max="42" width="16.6640625" bestFit="1" customWidth="1"/>
    <col min="43" max="43" width="13.6640625" bestFit="1" customWidth="1"/>
    <col min="44" max="44" width="10.6640625" bestFit="1" customWidth="1"/>
    <col min="45" max="45" width="7.77734375" bestFit="1" customWidth="1"/>
    <col min="46" max="46" width="13.44140625" bestFit="1" customWidth="1"/>
    <col min="47" max="47" width="16.6640625" bestFit="1" customWidth="1"/>
    <col min="48" max="48" width="13.33203125" bestFit="1" customWidth="1"/>
    <col min="49" max="49" width="16.6640625" bestFit="1" customWidth="1"/>
    <col min="50" max="50" width="12" bestFit="1" customWidth="1"/>
    <col min="51" max="51" width="11.44140625" bestFit="1" customWidth="1"/>
    <col min="52" max="52" width="16.6640625" bestFit="1" customWidth="1"/>
    <col min="53" max="53" width="13.6640625" bestFit="1" customWidth="1"/>
    <col min="54" max="54" width="10.6640625" bestFit="1" customWidth="1"/>
    <col min="55" max="55" width="7.77734375" bestFit="1" customWidth="1"/>
    <col min="56" max="56" width="13.44140625" bestFit="1" customWidth="1"/>
    <col min="57" max="57" width="16.6640625" bestFit="1" customWidth="1"/>
    <col min="58" max="58" width="13.33203125" bestFit="1" customWidth="1"/>
    <col min="59" max="59" width="16.6640625" bestFit="1" customWidth="1"/>
    <col min="60" max="60" width="12" bestFit="1" customWidth="1"/>
    <col min="61" max="61" width="9.33203125" bestFit="1" customWidth="1"/>
    <col min="62" max="62" width="9" bestFit="1" customWidth="1"/>
    <col min="63" max="63" width="12.6640625" bestFit="1" customWidth="1"/>
    <col min="64" max="64" width="7.5546875" bestFit="1" customWidth="1"/>
    <col min="65" max="65" width="9.33203125" bestFit="1" customWidth="1"/>
    <col min="66" max="66" width="13.44140625" bestFit="1" customWidth="1"/>
    <col min="67" max="67" width="11.33203125" bestFit="1" customWidth="1"/>
    <col min="68" max="68" width="9" bestFit="1" customWidth="1"/>
    <col min="69" max="69" width="10.77734375" bestFit="1" customWidth="1"/>
    <col min="70" max="70" width="11.6640625" bestFit="1" customWidth="1"/>
    <col min="71" max="71" width="13.109375" bestFit="1" customWidth="1"/>
    <col min="72" max="72" width="9" bestFit="1" customWidth="1"/>
    <col min="73" max="73" width="12.6640625" bestFit="1" customWidth="1"/>
    <col min="74" max="74" width="7.21875" bestFit="1" customWidth="1"/>
    <col min="75" max="75" width="11.6640625" bestFit="1" customWidth="1"/>
    <col min="76" max="76" width="9" bestFit="1" customWidth="1"/>
    <col min="77" max="77" width="12.6640625" bestFit="1" customWidth="1"/>
    <col min="78" max="78" width="12.5546875" bestFit="1" customWidth="1"/>
    <col min="79" max="79" width="11.88671875" bestFit="1" customWidth="1"/>
    <col min="80" max="80" width="13.109375" bestFit="1" customWidth="1"/>
    <col min="81" max="81" width="9" bestFit="1" customWidth="1"/>
    <col min="82" max="82" width="14.6640625" bestFit="1" customWidth="1"/>
    <col min="83" max="83" width="12.6640625" bestFit="1" customWidth="1"/>
    <col min="84" max="84" width="11.44140625" bestFit="1" customWidth="1"/>
    <col min="85" max="85" width="11.6640625" bestFit="1" customWidth="1"/>
    <col min="86" max="86" width="13.109375" bestFit="1" customWidth="1"/>
    <col min="87" max="87" width="9.33203125" bestFit="1" customWidth="1"/>
    <col min="88" max="88" width="13.33203125" bestFit="1" customWidth="1"/>
    <col min="89" max="89" width="11.33203125" bestFit="1" customWidth="1"/>
    <col min="90" max="90" width="11.6640625" bestFit="1" customWidth="1"/>
    <col min="91" max="91" width="9" bestFit="1" customWidth="1"/>
    <col min="92" max="92" width="12.6640625" bestFit="1" customWidth="1"/>
    <col min="93" max="93" width="10.77734375" bestFit="1" customWidth="1"/>
    <col min="94" max="94" width="9" bestFit="1" customWidth="1"/>
    <col min="95" max="95" width="7.21875" bestFit="1" customWidth="1"/>
    <col min="96" max="96" width="9.88671875" bestFit="1" customWidth="1"/>
    <col min="97" max="97" width="12.6640625" bestFit="1" customWidth="1"/>
    <col min="98" max="98" width="7.5546875" bestFit="1" customWidth="1"/>
    <col min="99" max="99" width="12.5546875" bestFit="1" customWidth="1"/>
    <col min="100" max="100" width="11.88671875" bestFit="1" customWidth="1"/>
    <col min="101" max="101" width="9" bestFit="1" customWidth="1"/>
    <col min="102" max="102" width="12.6640625" bestFit="1" customWidth="1"/>
    <col min="103" max="103" width="14.6640625" bestFit="1" customWidth="1"/>
    <col min="104" max="104" width="11.33203125" bestFit="1" customWidth="1"/>
    <col min="105" max="105" width="12.6640625" bestFit="1" customWidth="1"/>
    <col min="106" max="106" width="11.44140625" bestFit="1" customWidth="1"/>
    <col min="107" max="107" width="12.6640625" bestFit="1" customWidth="1"/>
    <col min="108" max="108" width="7.5546875" bestFit="1" customWidth="1"/>
    <col min="109" max="109" width="9.33203125" bestFit="1" customWidth="1"/>
    <col min="110" max="110" width="12" bestFit="1" customWidth="1"/>
    <col min="111" max="123" width="6.5546875" bestFit="1" customWidth="1"/>
    <col min="124" max="131" width="7.109375" bestFit="1" customWidth="1"/>
    <col min="132" max="142" width="6.77734375" bestFit="1" customWidth="1"/>
    <col min="143" max="143" width="13.6640625" bestFit="1" customWidth="1"/>
    <col min="144" max="144" width="10.77734375" bestFit="1" customWidth="1"/>
    <col min="145" max="147" width="6.6640625" bestFit="1" customWidth="1"/>
    <col min="148" max="148" width="7.109375" bestFit="1" customWidth="1"/>
    <col min="149" max="149" width="6.6640625" bestFit="1" customWidth="1"/>
    <col min="150" max="151" width="7.44140625" bestFit="1" customWidth="1"/>
    <col min="152" max="153" width="6.5546875" bestFit="1" customWidth="1"/>
    <col min="154" max="154" width="5.88671875" bestFit="1" customWidth="1"/>
    <col min="155" max="158" width="7" bestFit="1" customWidth="1"/>
    <col min="159" max="159" width="6.77734375" bestFit="1" customWidth="1"/>
    <col min="160" max="160" width="6.5546875" bestFit="1" customWidth="1"/>
    <col min="161" max="161" width="7.109375" bestFit="1" customWidth="1"/>
    <col min="162" max="162" width="6.77734375" bestFit="1" customWidth="1"/>
    <col min="163" max="163" width="13.5546875" bestFit="1" customWidth="1"/>
    <col min="164" max="164" width="9.88671875" bestFit="1" customWidth="1"/>
    <col min="165" max="165" width="6.6640625" bestFit="1" customWidth="1"/>
    <col min="166" max="167" width="7.109375" bestFit="1" customWidth="1"/>
    <col min="168" max="170" width="6.6640625" bestFit="1" customWidth="1"/>
    <col min="171" max="172" width="6.5546875" bestFit="1" customWidth="1"/>
    <col min="173" max="174" width="5.88671875" bestFit="1" customWidth="1"/>
    <col min="175" max="180" width="7" bestFit="1" customWidth="1"/>
    <col min="181" max="181" width="6.77734375" bestFit="1" customWidth="1"/>
    <col min="182" max="184" width="6.5546875" bestFit="1" customWidth="1"/>
    <col min="185" max="187" width="7.109375" bestFit="1" customWidth="1"/>
    <col min="188" max="188" width="12.5546875" bestFit="1" customWidth="1"/>
    <col min="189" max="189" width="10.77734375" bestFit="1" customWidth="1"/>
    <col min="190" max="191" width="7" bestFit="1" customWidth="1"/>
    <col min="192" max="192" width="6.77734375" bestFit="1" customWidth="1"/>
    <col min="193" max="195" width="6.5546875" bestFit="1" customWidth="1"/>
    <col min="196" max="198" width="7.109375" bestFit="1" customWidth="1"/>
    <col min="199" max="199" width="22.44140625" bestFit="1" customWidth="1"/>
    <col min="200" max="200" width="12.5546875" bestFit="1" customWidth="1"/>
    <col min="201" max="201" width="10.77734375" bestFit="1" customWidth="1"/>
  </cols>
  <sheetData>
    <row r="3" spans="1:6" x14ac:dyDescent="0.3">
      <c r="A3" s="29" t="s">
        <v>85</v>
      </c>
      <c r="B3" s="29" t="s">
        <v>8</v>
      </c>
      <c r="C3" s="1"/>
      <c r="D3" s="1"/>
      <c r="E3" s="1"/>
      <c r="F3" s="1"/>
    </row>
    <row r="4" spans="1:6" x14ac:dyDescent="0.3">
      <c r="A4" s="29" t="s">
        <v>84</v>
      </c>
      <c r="B4" s="33" t="s">
        <v>31</v>
      </c>
      <c r="C4" s="31" t="s">
        <v>18</v>
      </c>
      <c r="D4" s="31" t="s">
        <v>54</v>
      </c>
      <c r="E4" s="32" t="s">
        <v>13</v>
      </c>
      <c r="F4" s="1" t="s">
        <v>86</v>
      </c>
    </row>
    <row r="5" spans="1:6" x14ac:dyDescent="0.3">
      <c r="A5" s="30" t="s">
        <v>15</v>
      </c>
      <c r="B5" s="1">
        <v>1</v>
      </c>
      <c r="C5" s="1">
        <v>15</v>
      </c>
      <c r="D5" s="1">
        <v>2</v>
      </c>
      <c r="E5" s="1"/>
      <c r="F5" s="1">
        <v>18</v>
      </c>
    </row>
    <row r="6" spans="1:6" x14ac:dyDescent="0.3">
      <c r="A6" s="34" t="s">
        <v>49</v>
      </c>
      <c r="B6" s="38"/>
      <c r="C6">
        <v>1</v>
      </c>
      <c r="D6">
        <v>1</v>
      </c>
      <c r="F6" s="36">
        <v>2</v>
      </c>
    </row>
    <row r="7" spans="1:6" x14ac:dyDescent="0.3">
      <c r="A7" s="34" t="s">
        <v>17</v>
      </c>
      <c r="B7" s="38"/>
      <c r="C7">
        <v>2</v>
      </c>
      <c r="F7" s="36">
        <v>2</v>
      </c>
    </row>
    <row r="8" spans="1:6" x14ac:dyDescent="0.3">
      <c r="A8" s="34" t="s">
        <v>39</v>
      </c>
      <c r="B8" s="38">
        <v>1</v>
      </c>
      <c r="C8">
        <v>3</v>
      </c>
      <c r="F8" s="36">
        <v>4</v>
      </c>
    </row>
    <row r="9" spans="1:6" x14ac:dyDescent="0.3">
      <c r="A9" s="34" t="s">
        <v>26</v>
      </c>
      <c r="B9" s="38"/>
      <c r="C9">
        <v>2</v>
      </c>
      <c r="D9">
        <v>1</v>
      </c>
      <c r="F9" s="36">
        <v>3</v>
      </c>
    </row>
    <row r="10" spans="1:6" x14ac:dyDescent="0.3">
      <c r="A10" s="34" t="s">
        <v>22</v>
      </c>
      <c r="B10" s="38"/>
      <c r="C10">
        <v>4</v>
      </c>
      <c r="F10" s="36">
        <v>4</v>
      </c>
    </row>
    <row r="11" spans="1:6" x14ac:dyDescent="0.3">
      <c r="A11" s="35" t="s">
        <v>12</v>
      </c>
      <c r="B11" s="38"/>
      <c r="C11">
        <v>3</v>
      </c>
      <c r="F11" s="36">
        <v>3</v>
      </c>
    </row>
    <row r="12" spans="1:6" x14ac:dyDescent="0.3">
      <c r="A12" s="30" t="s">
        <v>24</v>
      </c>
      <c r="B12" s="1">
        <v>4</v>
      </c>
      <c r="C12" s="1">
        <v>12</v>
      </c>
      <c r="D12" s="1">
        <v>3</v>
      </c>
      <c r="E12" s="1"/>
      <c r="F12" s="1">
        <v>19</v>
      </c>
    </row>
    <row r="13" spans="1:6" x14ac:dyDescent="0.3">
      <c r="A13" s="34" t="s">
        <v>49</v>
      </c>
      <c r="B13" s="38"/>
      <c r="C13">
        <v>1</v>
      </c>
      <c r="F13" s="36">
        <v>1</v>
      </c>
    </row>
    <row r="14" spans="1:6" x14ac:dyDescent="0.3">
      <c r="A14" s="34" t="s">
        <v>17</v>
      </c>
      <c r="B14" s="38"/>
      <c r="C14">
        <v>2</v>
      </c>
      <c r="D14">
        <v>1</v>
      </c>
      <c r="F14" s="36">
        <v>3</v>
      </c>
    </row>
    <row r="15" spans="1:6" x14ac:dyDescent="0.3">
      <c r="A15" s="34" t="s">
        <v>26</v>
      </c>
      <c r="B15" s="38">
        <v>1</v>
      </c>
      <c r="C15">
        <v>3</v>
      </c>
      <c r="D15">
        <v>1</v>
      </c>
      <c r="F15" s="36">
        <v>5</v>
      </c>
    </row>
    <row r="16" spans="1:6" x14ac:dyDescent="0.3">
      <c r="A16" s="34" t="s">
        <v>22</v>
      </c>
      <c r="B16" s="38">
        <v>1</v>
      </c>
      <c r="C16">
        <v>5</v>
      </c>
      <c r="F16" s="36">
        <v>6</v>
      </c>
    </row>
    <row r="17" spans="1:6" x14ac:dyDescent="0.3">
      <c r="A17" s="35" t="s">
        <v>12</v>
      </c>
      <c r="B17" s="38">
        <v>2</v>
      </c>
      <c r="C17">
        <v>1</v>
      </c>
      <c r="D17">
        <v>1</v>
      </c>
      <c r="F17" s="36">
        <v>4</v>
      </c>
    </row>
    <row r="18" spans="1:6" x14ac:dyDescent="0.3">
      <c r="A18" s="30" t="s">
        <v>33</v>
      </c>
      <c r="B18" s="1">
        <v>4</v>
      </c>
      <c r="C18" s="1">
        <v>10</v>
      </c>
      <c r="D18" s="1"/>
      <c r="E18" s="1">
        <v>2</v>
      </c>
      <c r="F18" s="1">
        <v>16</v>
      </c>
    </row>
    <row r="19" spans="1:6" x14ac:dyDescent="0.3">
      <c r="A19" s="34" t="s">
        <v>49</v>
      </c>
      <c r="B19" s="38">
        <v>1</v>
      </c>
      <c r="F19" s="36">
        <v>1</v>
      </c>
    </row>
    <row r="20" spans="1:6" x14ac:dyDescent="0.3">
      <c r="A20" s="34" t="s">
        <v>17</v>
      </c>
      <c r="B20" s="38">
        <v>2</v>
      </c>
      <c r="C20">
        <v>2</v>
      </c>
      <c r="F20" s="36">
        <v>4</v>
      </c>
    </row>
    <row r="21" spans="1:6" x14ac:dyDescent="0.3">
      <c r="A21" s="34" t="s">
        <v>39</v>
      </c>
      <c r="B21" s="38"/>
      <c r="C21">
        <v>2</v>
      </c>
      <c r="F21" s="36">
        <v>2</v>
      </c>
    </row>
    <row r="22" spans="1:6" x14ac:dyDescent="0.3">
      <c r="A22" s="34" t="s">
        <v>26</v>
      </c>
      <c r="B22" s="38">
        <v>1</v>
      </c>
      <c r="C22">
        <v>2</v>
      </c>
      <c r="F22" s="36">
        <v>3</v>
      </c>
    </row>
    <row r="23" spans="1:6" x14ac:dyDescent="0.3">
      <c r="A23" s="34" t="s">
        <v>22</v>
      </c>
      <c r="B23" s="38"/>
      <c r="C23">
        <v>2</v>
      </c>
      <c r="E23">
        <v>2</v>
      </c>
      <c r="F23" s="36">
        <v>4</v>
      </c>
    </row>
    <row r="24" spans="1:6" x14ac:dyDescent="0.3">
      <c r="A24" s="35" t="s">
        <v>12</v>
      </c>
      <c r="B24" s="38"/>
      <c r="C24">
        <v>2</v>
      </c>
      <c r="F24" s="36">
        <v>2</v>
      </c>
    </row>
    <row r="25" spans="1:6" x14ac:dyDescent="0.3">
      <c r="A25" s="30" t="s">
        <v>53</v>
      </c>
      <c r="B25" s="1">
        <v>1</v>
      </c>
      <c r="C25" s="1">
        <v>5</v>
      </c>
      <c r="D25" s="1">
        <v>2</v>
      </c>
      <c r="E25" s="1">
        <v>2</v>
      </c>
      <c r="F25" s="1">
        <v>10</v>
      </c>
    </row>
    <row r="26" spans="1:6" x14ac:dyDescent="0.3">
      <c r="A26" s="34" t="s">
        <v>49</v>
      </c>
      <c r="B26" s="38"/>
      <c r="C26">
        <v>1</v>
      </c>
      <c r="D26">
        <v>1</v>
      </c>
      <c r="F26" s="36">
        <v>2</v>
      </c>
    </row>
    <row r="27" spans="1:6" x14ac:dyDescent="0.3">
      <c r="A27" s="34" t="s">
        <v>39</v>
      </c>
      <c r="B27" s="38"/>
      <c r="E27">
        <v>1</v>
      </c>
      <c r="F27" s="36">
        <v>1</v>
      </c>
    </row>
    <row r="28" spans="1:6" x14ac:dyDescent="0.3">
      <c r="A28" s="34" t="s">
        <v>26</v>
      </c>
      <c r="B28" s="38">
        <v>1</v>
      </c>
      <c r="C28">
        <v>1</v>
      </c>
      <c r="D28">
        <v>1</v>
      </c>
      <c r="E28">
        <v>1</v>
      </c>
      <c r="F28" s="36">
        <v>4</v>
      </c>
    </row>
    <row r="29" spans="1:6" x14ac:dyDescent="0.3">
      <c r="A29" s="34" t="s">
        <v>22</v>
      </c>
      <c r="B29" s="38"/>
      <c r="C29">
        <v>1</v>
      </c>
      <c r="F29" s="36">
        <v>1</v>
      </c>
    </row>
    <row r="30" spans="1:6" x14ac:dyDescent="0.3">
      <c r="A30" s="35" t="s">
        <v>12</v>
      </c>
      <c r="B30" s="38"/>
      <c r="C30">
        <v>2</v>
      </c>
      <c r="F30" s="36">
        <v>2</v>
      </c>
    </row>
    <row r="31" spans="1:6" x14ac:dyDescent="0.3">
      <c r="A31" s="30" t="s">
        <v>35</v>
      </c>
      <c r="B31" s="1">
        <v>2</v>
      </c>
      <c r="C31" s="1">
        <v>8</v>
      </c>
      <c r="D31" s="1">
        <v>1</v>
      </c>
      <c r="E31" s="1">
        <v>1</v>
      </c>
      <c r="F31" s="1">
        <v>12</v>
      </c>
    </row>
    <row r="32" spans="1:6" x14ac:dyDescent="0.3">
      <c r="A32" s="34" t="s">
        <v>17</v>
      </c>
      <c r="B32" s="38"/>
      <c r="D32">
        <v>1</v>
      </c>
      <c r="F32" s="36">
        <v>1</v>
      </c>
    </row>
    <row r="33" spans="1:6" x14ac:dyDescent="0.3">
      <c r="A33" s="34" t="s">
        <v>39</v>
      </c>
      <c r="B33" s="38"/>
      <c r="C33">
        <v>2</v>
      </c>
      <c r="F33" s="36">
        <v>2</v>
      </c>
    </row>
    <row r="34" spans="1:6" x14ac:dyDescent="0.3">
      <c r="A34" s="34" t="s">
        <v>26</v>
      </c>
      <c r="B34" s="38">
        <v>1</v>
      </c>
      <c r="C34">
        <v>1</v>
      </c>
      <c r="E34">
        <v>1</v>
      </c>
      <c r="F34" s="36">
        <v>3</v>
      </c>
    </row>
    <row r="35" spans="1:6" x14ac:dyDescent="0.3">
      <c r="A35" s="34" t="s">
        <v>22</v>
      </c>
      <c r="B35" s="38">
        <v>1</v>
      </c>
      <c r="C35">
        <v>2</v>
      </c>
      <c r="F35" s="36">
        <v>3</v>
      </c>
    </row>
    <row r="36" spans="1:6" x14ac:dyDescent="0.3">
      <c r="A36" s="35" t="s">
        <v>12</v>
      </c>
      <c r="B36" s="38"/>
      <c r="C36">
        <v>3</v>
      </c>
      <c r="F36" s="36">
        <v>3</v>
      </c>
    </row>
    <row r="37" spans="1:6" x14ac:dyDescent="0.3">
      <c r="A37" s="30" t="s">
        <v>10</v>
      </c>
      <c r="B37" s="1"/>
      <c r="C37" s="1">
        <v>8</v>
      </c>
      <c r="D37" s="1"/>
      <c r="E37" s="1">
        <v>2</v>
      </c>
      <c r="F37" s="1">
        <v>10</v>
      </c>
    </row>
    <row r="38" spans="1:6" x14ac:dyDescent="0.3">
      <c r="A38" s="34" t="s">
        <v>49</v>
      </c>
      <c r="B38" s="38"/>
      <c r="C38">
        <v>3</v>
      </c>
      <c r="F38" s="36">
        <v>3</v>
      </c>
    </row>
    <row r="39" spans="1:6" x14ac:dyDescent="0.3">
      <c r="A39" s="34" t="s">
        <v>39</v>
      </c>
      <c r="B39" s="38"/>
      <c r="C39">
        <v>1</v>
      </c>
      <c r="E39">
        <v>1</v>
      </c>
      <c r="F39" s="36">
        <v>2</v>
      </c>
    </row>
    <row r="40" spans="1:6" x14ac:dyDescent="0.3">
      <c r="A40" s="34" t="s">
        <v>26</v>
      </c>
      <c r="B40" s="38"/>
      <c r="C40">
        <v>1</v>
      </c>
      <c r="F40" s="36">
        <v>1</v>
      </c>
    </row>
    <row r="41" spans="1:6" x14ac:dyDescent="0.3">
      <c r="A41" s="34" t="s">
        <v>22</v>
      </c>
      <c r="B41" s="38"/>
      <c r="C41">
        <v>2</v>
      </c>
      <c r="F41" s="36">
        <v>2</v>
      </c>
    </row>
    <row r="42" spans="1:6" x14ac:dyDescent="0.3">
      <c r="A42" s="35" t="s">
        <v>12</v>
      </c>
      <c r="B42" s="38"/>
      <c r="C42">
        <v>1</v>
      </c>
      <c r="E42">
        <v>1</v>
      </c>
      <c r="F42" s="36">
        <v>2</v>
      </c>
    </row>
    <row r="43" spans="1:6" x14ac:dyDescent="0.3">
      <c r="A43" s="30" t="s">
        <v>30</v>
      </c>
      <c r="B43" s="1">
        <v>1</v>
      </c>
      <c r="C43" s="1">
        <v>5</v>
      </c>
      <c r="D43" s="1">
        <v>1</v>
      </c>
      <c r="E43" s="1">
        <v>1</v>
      </c>
      <c r="F43" s="1">
        <v>8</v>
      </c>
    </row>
    <row r="44" spans="1:6" x14ac:dyDescent="0.3">
      <c r="A44" s="34" t="s">
        <v>49</v>
      </c>
      <c r="B44" s="38"/>
      <c r="C44">
        <v>1</v>
      </c>
      <c r="E44">
        <v>1</v>
      </c>
      <c r="F44" s="36">
        <v>2</v>
      </c>
    </row>
    <row r="45" spans="1:6" x14ac:dyDescent="0.3">
      <c r="A45" s="34" t="s">
        <v>17</v>
      </c>
      <c r="B45" s="38"/>
      <c r="C45">
        <v>1</v>
      </c>
      <c r="F45" s="36">
        <v>1</v>
      </c>
    </row>
    <row r="46" spans="1:6" x14ac:dyDescent="0.3">
      <c r="A46" s="34" t="s">
        <v>39</v>
      </c>
      <c r="B46" s="38"/>
      <c r="C46">
        <v>1</v>
      </c>
      <c r="F46" s="36">
        <v>1</v>
      </c>
    </row>
    <row r="47" spans="1:6" x14ac:dyDescent="0.3">
      <c r="A47" s="34" t="s">
        <v>26</v>
      </c>
      <c r="B47" s="38">
        <v>1</v>
      </c>
      <c r="D47">
        <v>1</v>
      </c>
      <c r="F47" s="36">
        <v>2</v>
      </c>
    </row>
    <row r="48" spans="1:6" x14ac:dyDescent="0.3">
      <c r="A48" s="35" t="s">
        <v>22</v>
      </c>
      <c r="B48" s="38"/>
      <c r="C48">
        <v>2</v>
      </c>
      <c r="F48" s="36">
        <v>2</v>
      </c>
    </row>
    <row r="49" spans="1:6" x14ac:dyDescent="0.3">
      <c r="A49" s="30" t="s">
        <v>38</v>
      </c>
      <c r="B49" s="1">
        <v>2</v>
      </c>
      <c r="C49" s="1">
        <v>9</v>
      </c>
      <c r="D49" s="1"/>
      <c r="E49" s="1">
        <v>3</v>
      </c>
      <c r="F49" s="1">
        <v>14</v>
      </c>
    </row>
    <row r="50" spans="1:6" x14ac:dyDescent="0.3">
      <c r="A50" s="34" t="s">
        <v>49</v>
      </c>
      <c r="B50" s="38"/>
      <c r="C50">
        <v>3</v>
      </c>
      <c r="F50" s="36">
        <v>3</v>
      </c>
    </row>
    <row r="51" spans="1:6" x14ac:dyDescent="0.3">
      <c r="A51" s="34" t="s">
        <v>17</v>
      </c>
      <c r="B51" s="38">
        <v>1</v>
      </c>
      <c r="F51" s="36">
        <v>1</v>
      </c>
    </row>
    <row r="52" spans="1:6" x14ac:dyDescent="0.3">
      <c r="A52" s="34" t="s">
        <v>26</v>
      </c>
      <c r="B52" s="38"/>
      <c r="C52">
        <v>1</v>
      </c>
      <c r="F52" s="36">
        <v>1</v>
      </c>
    </row>
    <row r="53" spans="1:6" x14ac:dyDescent="0.3">
      <c r="A53" s="34" t="s">
        <v>22</v>
      </c>
      <c r="B53" s="38">
        <v>1</v>
      </c>
      <c r="C53">
        <v>4</v>
      </c>
      <c r="E53">
        <v>2</v>
      </c>
      <c r="F53" s="36">
        <v>7</v>
      </c>
    </row>
    <row r="54" spans="1:6" x14ac:dyDescent="0.3">
      <c r="A54" s="35" t="s">
        <v>12</v>
      </c>
      <c r="B54" s="38"/>
      <c r="C54">
        <v>1</v>
      </c>
      <c r="E54">
        <v>1</v>
      </c>
      <c r="F54" s="36">
        <v>2</v>
      </c>
    </row>
    <row r="55" spans="1:6" x14ac:dyDescent="0.3">
      <c r="A55" s="30" t="s">
        <v>48</v>
      </c>
      <c r="B55" s="1">
        <v>2</v>
      </c>
      <c r="C55" s="1">
        <v>11</v>
      </c>
      <c r="D55" s="1">
        <v>2</v>
      </c>
      <c r="E55" s="1"/>
      <c r="F55" s="1">
        <v>15</v>
      </c>
    </row>
    <row r="56" spans="1:6" x14ac:dyDescent="0.3">
      <c r="A56" s="34" t="s">
        <v>49</v>
      </c>
      <c r="B56" s="38"/>
      <c r="C56">
        <v>3</v>
      </c>
      <c r="F56" s="36">
        <v>3</v>
      </c>
    </row>
    <row r="57" spans="1:6" x14ac:dyDescent="0.3">
      <c r="A57" s="34" t="s">
        <v>17</v>
      </c>
      <c r="B57" s="38">
        <v>1</v>
      </c>
      <c r="C57">
        <v>4</v>
      </c>
      <c r="D57">
        <v>1</v>
      </c>
      <c r="F57" s="36">
        <v>6</v>
      </c>
    </row>
    <row r="58" spans="1:6" x14ac:dyDescent="0.3">
      <c r="A58" s="34" t="s">
        <v>39</v>
      </c>
      <c r="B58" s="38"/>
      <c r="C58">
        <v>1</v>
      </c>
      <c r="D58">
        <v>1</v>
      </c>
      <c r="F58" s="36">
        <v>2</v>
      </c>
    </row>
    <row r="59" spans="1:6" x14ac:dyDescent="0.3">
      <c r="A59" s="34" t="s">
        <v>26</v>
      </c>
      <c r="B59" s="38">
        <v>1</v>
      </c>
      <c r="C59">
        <v>1</v>
      </c>
      <c r="F59" s="36">
        <v>2</v>
      </c>
    </row>
    <row r="60" spans="1:6" x14ac:dyDescent="0.3">
      <c r="A60" s="35" t="s">
        <v>12</v>
      </c>
      <c r="B60" s="38"/>
      <c r="C60">
        <v>2</v>
      </c>
      <c r="F60" s="36">
        <v>2</v>
      </c>
    </row>
    <row r="61" spans="1:6" x14ac:dyDescent="0.3">
      <c r="A61" s="30" t="s">
        <v>41</v>
      </c>
      <c r="B61" s="1">
        <v>1</v>
      </c>
      <c r="C61" s="1">
        <v>11</v>
      </c>
      <c r="D61" s="1">
        <v>2</v>
      </c>
      <c r="E61" s="1">
        <v>3</v>
      </c>
      <c r="F61" s="1">
        <v>17</v>
      </c>
    </row>
    <row r="62" spans="1:6" x14ac:dyDescent="0.3">
      <c r="A62" s="34" t="s">
        <v>49</v>
      </c>
      <c r="B62" s="38"/>
      <c r="C62">
        <v>2</v>
      </c>
      <c r="E62">
        <v>1</v>
      </c>
      <c r="F62" s="36">
        <v>3</v>
      </c>
    </row>
    <row r="63" spans="1:6" x14ac:dyDescent="0.3">
      <c r="A63" s="34" t="s">
        <v>17</v>
      </c>
      <c r="B63" s="38"/>
      <c r="D63">
        <v>2</v>
      </c>
      <c r="E63">
        <v>1</v>
      </c>
      <c r="F63" s="36">
        <v>3</v>
      </c>
    </row>
    <row r="64" spans="1:6" x14ac:dyDescent="0.3">
      <c r="A64" s="34" t="s">
        <v>26</v>
      </c>
      <c r="B64" s="38">
        <v>1</v>
      </c>
      <c r="C64">
        <v>3</v>
      </c>
      <c r="E64">
        <v>1</v>
      </c>
      <c r="F64" s="36">
        <v>5</v>
      </c>
    </row>
    <row r="65" spans="1:6" x14ac:dyDescent="0.3">
      <c r="A65" s="34" t="s">
        <v>22</v>
      </c>
      <c r="B65" s="38"/>
      <c r="C65">
        <v>2</v>
      </c>
      <c r="F65" s="36">
        <v>2</v>
      </c>
    </row>
    <row r="66" spans="1:6" x14ac:dyDescent="0.3">
      <c r="A66" s="35" t="s">
        <v>12</v>
      </c>
      <c r="B66" s="38"/>
      <c r="C66">
        <v>4</v>
      </c>
      <c r="F66" s="36">
        <v>4</v>
      </c>
    </row>
    <row r="67" spans="1:6" x14ac:dyDescent="0.3">
      <c r="A67" s="30" t="s">
        <v>44</v>
      </c>
      <c r="B67" s="1"/>
      <c r="C67" s="1">
        <v>11</v>
      </c>
      <c r="D67" s="1">
        <v>1</v>
      </c>
      <c r="E67" s="1">
        <v>3</v>
      </c>
      <c r="F67" s="1">
        <v>15</v>
      </c>
    </row>
    <row r="68" spans="1:6" x14ac:dyDescent="0.3">
      <c r="A68" s="34" t="s">
        <v>49</v>
      </c>
      <c r="B68" s="38"/>
      <c r="C68">
        <v>4</v>
      </c>
      <c r="F68" s="36">
        <v>4</v>
      </c>
    </row>
    <row r="69" spans="1:6" x14ac:dyDescent="0.3">
      <c r="A69" s="34" t="s">
        <v>17</v>
      </c>
      <c r="B69" s="38"/>
      <c r="D69">
        <v>1</v>
      </c>
      <c r="F69" s="36">
        <v>1</v>
      </c>
    </row>
    <row r="70" spans="1:6" x14ac:dyDescent="0.3">
      <c r="A70" s="34" t="s">
        <v>39</v>
      </c>
      <c r="B70" s="38"/>
      <c r="C70">
        <v>2</v>
      </c>
      <c r="E70">
        <v>1</v>
      </c>
      <c r="F70" s="36">
        <v>3</v>
      </c>
    </row>
    <row r="71" spans="1:6" x14ac:dyDescent="0.3">
      <c r="A71" s="34" t="s">
        <v>26</v>
      </c>
      <c r="B71" s="38"/>
      <c r="C71">
        <v>1</v>
      </c>
      <c r="E71">
        <v>1</v>
      </c>
      <c r="F71" s="36">
        <v>2</v>
      </c>
    </row>
    <row r="72" spans="1:6" x14ac:dyDescent="0.3">
      <c r="A72" s="34" t="s">
        <v>22</v>
      </c>
      <c r="B72" s="38"/>
      <c r="C72">
        <v>3</v>
      </c>
      <c r="F72" s="36">
        <v>3</v>
      </c>
    </row>
    <row r="73" spans="1:6" x14ac:dyDescent="0.3">
      <c r="A73" s="35" t="s">
        <v>12</v>
      </c>
      <c r="B73" s="38"/>
      <c r="C73">
        <v>1</v>
      </c>
      <c r="E73">
        <v>1</v>
      </c>
      <c r="F73" s="36">
        <v>2</v>
      </c>
    </row>
    <row r="74" spans="1:6" x14ac:dyDescent="0.3">
      <c r="A74" s="30" t="s">
        <v>20</v>
      </c>
      <c r="B74" s="1">
        <v>2</v>
      </c>
      <c r="C74" s="1">
        <v>5</v>
      </c>
      <c r="D74" s="1">
        <v>2</v>
      </c>
      <c r="E74" s="1">
        <v>3</v>
      </c>
      <c r="F74" s="1">
        <v>12</v>
      </c>
    </row>
    <row r="75" spans="1:6" x14ac:dyDescent="0.3">
      <c r="A75" s="34" t="s">
        <v>49</v>
      </c>
      <c r="B75" s="38">
        <v>1</v>
      </c>
      <c r="C75">
        <v>1</v>
      </c>
      <c r="E75">
        <v>1</v>
      </c>
      <c r="F75" s="36">
        <v>3</v>
      </c>
    </row>
    <row r="76" spans="1:6" x14ac:dyDescent="0.3">
      <c r="A76" s="34" t="s">
        <v>39</v>
      </c>
      <c r="B76" s="38">
        <v>1</v>
      </c>
      <c r="D76">
        <v>1</v>
      </c>
      <c r="E76">
        <v>1</v>
      </c>
      <c r="F76" s="36">
        <v>3</v>
      </c>
    </row>
    <row r="77" spans="1:6" x14ac:dyDescent="0.3">
      <c r="A77" s="34" t="s">
        <v>26</v>
      </c>
      <c r="B77" s="38"/>
      <c r="C77">
        <v>1</v>
      </c>
      <c r="F77" s="36">
        <v>1</v>
      </c>
    </row>
    <row r="78" spans="1:6" x14ac:dyDescent="0.3">
      <c r="A78" s="34" t="s">
        <v>22</v>
      </c>
      <c r="B78" s="38"/>
      <c r="C78">
        <v>1</v>
      </c>
      <c r="D78">
        <v>1</v>
      </c>
      <c r="F78" s="36">
        <v>2</v>
      </c>
    </row>
    <row r="79" spans="1:6" x14ac:dyDescent="0.3">
      <c r="A79" s="35" t="s">
        <v>12</v>
      </c>
      <c r="B79" s="38"/>
      <c r="C79">
        <v>2</v>
      </c>
      <c r="E79">
        <v>1</v>
      </c>
      <c r="F79" s="36">
        <v>3</v>
      </c>
    </row>
    <row r="80" spans="1:6" x14ac:dyDescent="0.3">
      <c r="A80" s="30" t="s">
        <v>28</v>
      </c>
      <c r="B80" s="1">
        <v>3</v>
      </c>
      <c r="C80" s="1">
        <v>5</v>
      </c>
      <c r="D80" s="1"/>
      <c r="E80" s="1">
        <v>2</v>
      </c>
      <c r="F80" s="1">
        <v>10</v>
      </c>
    </row>
    <row r="81" spans="1:6" x14ac:dyDescent="0.3">
      <c r="A81" s="34" t="s">
        <v>49</v>
      </c>
      <c r="B81" s="38">
        <v>2</v>
      </c>
      <c r="C81">
        <v>2</v>
      </c>
      <c r="E81">
        <v>1</v>
      </c>
      <c r="F81" s="36">
        <v>5</v>
      </c>
    </row>
    <row r="82" spans="1:6" x14ac:dyDescent="0.3">
      <c r="A82" s="34" t="s">
        <v>17</v>
      </c>
      <c r="B82" s="38"/>
      <c r="C82">
        <v>1</v>
      </c>
      <c r="F82" s="36">
        <v>1</v>
      </c>
    </row>
    <row r="83" spans="1:6" x14ac:dyDescent="0.3">
      <c r="A83" s="34" t="s">
        <v>39</v>
      </c>
      <c r="B83" s="38"/>
      <c r="E83">
        <v>1</v>
      </c>
      <c r="F83" s="36">
        <v>1</v>
      </c>
    </row>
    <row r="84" spans="1:6" x14ac:dyDescent="0.3">
      <c r="A84" s="34" t="s">
        <v>26</v>
      </c>
      <c r="B84" s="38">
        <v>1</v>
      </c>
      <c r="F84" s="36">
        <v>1</v>
      </c>
    </row>
    <row r="85" spans="1:6" x14ac:dyDescent="0.3">
      <c r="A85" s="34" t="s">
        <v>22</v>
      </c>
      <c r="B85" s="38"/>
      <c r="C85">
        <v>1</v>
      </c>
      <c r="F85" s="36">
        <v>1</v>
      </c>
    </row>
    <row r="86" spans="1:6" x14ac:dyDescent="0.3">
      <c r="A86" s="35" t="s">
        <v>12</v>
      </c>
      <c r="B86" s="38"/>
      <c r="C86">
        <v>1</v>
      </c>
      <c r="F86" s="36">
        <v>1</v>
      </c>
    </row>
    <row r="87" spans="1:6" x14ac:dyDescent="0.3">
      <c r="A87" s="30" t="s">
        <v>46</v>
      </c>
      <c r="B87" s="1">
        <v>1</v>
      </c>
      <c r="C87" s="1">
        <v>9</v>
      </c>
      <c r="D87" s="1">
        <v>2</v>
      </c>
      <c r="E87" s="1">
        <v>1</v>
      </c>
      <c r="F87" s="1">
        <v>13</v>
      </c>
    </row>
    <row r="88" spans="1:6" x14ac:dyDescent="0.3">
      <c r="A88" s="34" t="s">
        <v>49</v>
      </c>
      <c r="B88" s="38"/>
      <c r="C88">
        <v>1</v>
      </c>
      <c r="E88">
        <v>1</v>
      </c>
      <c r="F88" s="36">
        <v>2</v>
      </c>
    </row>
    <row r="89" spans="1:6" x14ac:dyDescent="0.3">
      <c r="A89" s="34" t="s">
        <v>17</v>
      </c>
      <c r="B89" s="38">
        <v>1</v>
      </c>
      <c r="C89">
        <v>3</v>
      </c>
      <c r="D89">
        <v>1</v>
      </c>
      <c r="F89" s="36">
        <v>5</v>
      </c>
    </row>
    <row r="90" spans="1:6" x14ac:dyDescent="0.3">
      <c r="A90" s="34" t="s">
        <v>39</v>
      </c>
      <c r="B90" s="38"/>
      <c r="C90">
        <v>1</v>
      </c>
      <c r="D90">
        <v>1</v>
      </c>
      <c r="F90" s="36">
        <v>2</v>
      </c>
    </row>
    <row r="91" spans="1:6" x14ac:dyDescent="0.3">
      <c r="A91" s="34" t="s">
        <v>26</v>
      </c>
      <c r="B91" s="38"/>
      <c r="C91">
        <v>2</v>
      </c>
      <c r="F91" s="36">
        <v>2</v>
      </c>
    </row>
    <row r="92" spans="1:6" x14ac:dyDescent="0.3">
      <c r="A92" s="34" t="s">
        <v>22</v>
      </c>
      <c r="B92" s="38"/>
      <c r="C92">
        <v>1</v>
      </c>
      <c r="F92" s="36">
        <v>1</v>
      </c>
    </row>
    <row r="93" spans="1:6" x14ac:dyDescent="0.3">
      <c r="A93" s="35" t="s">
        <v>12</v>
      </c>
      <c r="B93" s="38"/>
      <c r="C93">
        <v>1</v>
      </c>
      <c r="F93" s="36">
        <v>1</v>
      </c>
    </row>
    <row r="94" spans="1:6" x14ac:dyDescent="0.3">
      <c r="A94" s="30" t="s">
        <v>51</v>
      </c>
      <c r="B94" s="1">
        <v>1</v>
      </c>
      <c r="C94" s="1">
        <v>8</v>
      </c>
      <c r="D94" s="1">
        <v>1</v>
      </c>
      <c r="E94" s="1">
        <v>1</v>
      </c>
      <c r="F94" s="1">
        <v>11</v>
      </c>
    </row>
    <row r="95" spans="1:6" x14ac:dyDescent="0.3">
      <c r="A95" s="34" t="s">
        <v>49</v>
      </c>
      <c r="B95" s="38"/>
      <c r="C95">
        <v>3</v>
      </c>
      <c r="F95" s="36">
        <v>3</v>
      </c>
    </row>
    <row r="96" spans="1:6" x14ac:dyDescent="0.3">
      <c r="A96" s="34" t="s">
        <v>17</v>
      </c>
      <c r="B96" s="38">
        <v>1</v>
      </c>
      <c r="C96">
        <v>3</v>
      </c>
      <c r="F96" s="36">
        <v>4</v>
      </c>
    </row>
    <row r="97" spans="1:6" x14ac:dyDescent="0.3">
      <c r="A97" s="34" t="s">
        <v>39</v>
      </c>
      <c r="B97" s="38"/>
      <c r="C97">
        <v>1</v>
      </c>
      <c r="F97" s="36">
        <v>1</v>
      </c>
    </row>
    <row r="98" spans="1:6" x14ac:dyDescent="0.3">
      <c r="A98" s="34" t="s">
        <v>26</v>
      </c>
      <c r="B98" s="38"/>
      <c r="C98">
        <v>1</v>
      </c>
      <c r="E98">
        <v>1</v>
      </c>
      <c r="F98" s="36">
        <v>2</v>
      </c>
    </row>
    <row r="99" spans="1:6" x14ac:dyDescent="0.3">
      <c r="A99" s="35" t="s">
        <v>12</v>
      </c>
      <c r="B99" s="38"/>
      <c r="D99">
        <v>1</v>
      </c>
      <c r="F99" s="36">
        <v>1</v>
      </c>
    </row>
    <row r="100" spans="1:6" x14ac:dyDescent="0.3">
      <c r="A100" s="37" t="s">
        <v>86</v>
      </c>
      <c r="B100" s="33">
        <v>25</v>
      </c>
      <c r="C100" s="31">
        <v>132</v>
      </c>
      <c r="D100" s="31">
        <v>19</v>
      </c>
      <c r="E100" s="31">
        <v>24</v>
      </c>
      <c r="F100" s="32">
        <v>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Procurement_Vendor Final INR</vt:lpstr>
      <vt:lpstr>Spend&amp;savings departmentwise</vt:lpstr>
      <vt:lpstr>Total spend and Discount</vt:lpstr>
      <vt:lpstr>Delivery Status</vt:lpstr>
      <vt:lpstr>Executive summary</vt:lpstr>
      <vt:lpstr>Procurement Estimates</vt:lpstr>
      <vt:lpstr>Savings and average</vt:lpstr>
      <vt:lpstr>Vendorwise Spending</vt:lpstr>
      <vt:lpstr>Delivery Tracker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Shashanth Prasanna</dc:creator>
  <cp:lastModifiedBy>Shashanth Prasanna</cp:lastModifiedBy>
  <dcterms:created xsi:type="dcterms:W3CDTF">2026-09-17T17:20:03Z</dcterms:created>
  <dcterms:modified xsi:type="dcterms:W3CDTF">2026-10-01T16:30:55Z</dcterms:modified>
</cp:coreProperties>
</file>